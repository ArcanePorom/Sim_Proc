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pivot_data" sheetId="3" state="hidden" r:id="rId3"/>
    <sheet name="Pivots" sheetId="4" r:id="rId4"/>
    <sheet name="Talents" sheetId="5" r:id="rId5"/>
    <sheet name="Ranked Chart" sheetId="6" r:id="rId6"/>
    <sheet name="Stat Heatmap" sheetId="7" r:id="rId7"/>
    <sheet name="Stat Map" sheetId="8" r:id="rId8"/>
    <sheet name="Stat Radar" sheetId="9" r:id="rId9"/>
  </sheets>
  <definedNames>
    <definedName name="_xlnm._FilterDatabase" localSheetId="0" hidden="1">Data!$A$1:$T$179</definedName>
    <definedName name="_xlnm._FilterDatabase" localSheetId="3" hidden="1">Pivots!$A$5:$E$94</definedName>
    <definedName name="_xlnm._FilterDatabase" localSheetId="1" hidden="1">Summary!$A$6:$L$95</definedName>
    <definedName name="pivot_individual_talents_both_data">pivot_data!$A$314:$D$314</definedName>
    <definedName name="pivot_individual_talents_both_headers">pivot_data!$A$313:$D$313</definedName>
    <definedName name="pivot_individual_talents_dps_data">pivot_data!$A$316:$C$316</definedName>
    <definedName name="pivot_individual_talents_dps_headers">pivot_data!$A$315:$C$315</definedName>
    <definedName name="pivot_individual_talents_priority_dps_data">pivot_data!$A$318:$C$318</definedName>
    <definedName name="pivot_individual_talents_priority_dps_headers">pivot_data!$A$317:$C$317</definedName>
    <definedName name="pivot_race_both_data">pivot_data!$A$275:$D$275</definedName>
    <definedName name="pivot_race_both_headers">pivot_data!$A$274:$D$274</definedName>
    <definedName name="pivot_race_dps_data">pivot_data!$A$278:$C$278</definedName>
    <definedName name="pivot_race_dps_headers">pivot_data!$A$277:$C$277</definedName>
    <definedName name="pivot_race_priority_dps_data">pivot_data!$A$281:$C$281</definedName>
    <definedName name="pivot_race_priority_dps_headers">pivot_data!$A$280:$C$280</definedName>
    <definedName name="pivot_stat_profile_both_data">pivot_data!$A$296:$D$296</definedName>
    <definedName name="pivot_stat_profile_both_headers">pivot_data!$A$295:$D$295</definedName>
    <definedName name="pivot_stat_profile_dps_data">pivot_data!$A$299:$C$299</definedName>
    <definedName name="pivot_stat_profile_dps_headers">pivot_data!$A$298:$C$298</definedName>
    <definedName name="pivot_stat_profile_priority_dps_data">pivot_data!$A$302:$C$302</definedName>
    <definedName name="pivot_stat_profile_priority_dps_headers">pivot_data!$A$301:$C$301</definedName>
    <definedName name="pivot_talent_str_both_data">pivot_data!$A$2:$D$90</definedName>
    <definedName name="pivot_talent_str_both_headers">pivot_data!$A$1:$D$1</definedName>
    <definedName name="pivot_talent_str_dps_data">pivot_data!$A$93:$C$181</definedName>
    <definedName name="pivot_talent_str_dps_headers">pivot_data!$A$92:$C$92</definedName>
    <definedName name="pivot_talent_str_priority_dps_data">pivot_data!$A$184:$C$272</definedName>
    <definedName name="pivot_talent_str_priority_dps_headers">pivot_data!$A$183:$C$183</definedName>
    <definedName name="pivot_trinket_both_data">pivot_data!$A$284:$D$285</definedName>
    <definedName name="pivot_trinket_both_headers">pivot_data!$A$283:$D$283</definedName>
    <definedName name="pivot_trinket_dps_data">pivot_data!$A$288:$C$289</definedName>
    <definedName name="pivot_trinket_dps_headers">pivot_data!$A$287:$C$287</definedName>
    <definedName name="pivot_trinket_pair_both_data">pivot_data!$A$305:$D$305</definedName>
    <definedName name="pivot_trinket_pair_both_headers">pivot_data!$A$304:$D$304</definedName>
    <definedName name="pivot_trinket_pair_dps_data">pivot_data!$A$308:$C$308</definedName>
    <definedName name="pivot_trinket_pair_dps_headers">pivot_data!$A$307:$C$307</definedName>
    <definedName name="pivot_trinket_pair_priority_dps_data">pivot_data!$A$311:$C$311</definedName>
    <definedName name="pivot_trinket_pair_priority_dps_headers">pivot_data!$A$310:$C$310</definedName>
    <definedName name="pivot_trinket_priority_dps_data">pivot_data!$A$292:$C$293</definedName>
    <definedName name="pivot_trinket_priority_dps_headers">pivot_data!$A$291:$C$291</definedName>
  </definedNames>
  <calcPr calcId="124519" fullCalcOnLoad="1"/>
</workbook>
</file>

<file path=xl/sharedStrings.xml><?xml version="1.0" encoding="utf-8"?>
<sst xmlns="http://schemas.openxmlformats.org/spreadsheetml/2006/main" count="2444" uniqueCount="276">
  <si>
    <t>file</t>
  </si>
  <si>
    <t>builds</t>
  </si>
  <si>
    <t>build_id</t>
  </si>
  <si>
    <t>dps</t>
  </si>
  <si>
    <t>priority_dps</t>
  </si>
  <si>
    <t>race</t>
  </si>
  <si>
    <t>class</t>
  </si>
  <si>
    <t>spec</t>
  </si>
  <si>
    <t>range_pct_dps</t>
  </si>
  <si>
    <t>talent_str</t>
  </si>
  <si>
    <t>targets</t>
  </si>
  <si>
    <t>crit</t>
  </si>
  <si>
    <t>haste</t>
  </si>
  <si>
    <t>vers</t>
  </si>
  <si>
    <t>mastery</t>
  </si>
  <si>
    <t>min_dps</t>
  </si>
  <si>
    <t>max_dps</t>
  </si>
  <si>
    <t>StdDev</t>
  </si>
  <si>
    <t>trinket_1</t>
  </si>
  <si>
    <t>trinket_2</t>
  </si>
  <si>
    <t>00_baseline_001</t>
  </si>
  <si>
    <t>01_baseline_001</t>
  </si>
  <si>
    <t>baseline</t>
  </si>
  <si>
    <t>mage_arcane_spellslinger_63</t>
  </si>
  <si>
    <t>mage_arcane_spellslinger_30</t>
  </si>
  <si>
    <t>mage_arcane_spellslinger_1</t>
  </si>
  <si>
    <t>mage_arcane_spellslinger_60</t>
  </si>
  <si>
    <t>mage_arcane_spellslinger_33</t>
  </si>
  <si>
    <t>mage_arcane_spellslinger_2</t>
  </si>
  <si>
    <t>mage_arcane_spellslinger_61</t>
  </si>
  <si>
    <t>mage_arcane_spellslinger_32</t>
  </si>
  <si>
    <t>mage_arcane_spellslinger_3</t>
  </si>
  <si>
    <t>mage_arcane_spellslinger_35</t>
  </si>
  <si>
    <t>mage_arcane_spellslinger_79</t>
  </si>
  <si>
    <t>mage_arcane_spellslinger_4</t>
  </si>
  <si>
    <t>mage_arcane_spellslinger_34</t>
  </si>
  <si>
    <t>mage_arcane_spellslinger_78</t>
  </si>
  <si>
    <t>mage_arcane_spellslinger_5</t>
  </si>
  <si>
    <t>mage_arcane_spellslinger_64</t>
  </si>
  <si>
    <t>mage_arcane_spellslinger_37</t>
  </si>
  <si>
    <t>mage_arcane_spellslinger_6</t>
  </si>
  <si>
    <t>mage_arcane_spellslinger_36</t>
  </si>
  <si>
    <t>mage_arcane_spellslinger_7</t>
  </si>
  <si>
    <t>mage_arcane_spellslinger_39</t>
  </si>
  <si>
    <t>mage_arcane_spellslinger_75</t>
  </si>
  <si>
    <t>mage_arcane_spellslinger_8</t>
  </si>
  <si>
    <t>mage_arcane_spellslinger_38</t>
  </si>
  <si>
    <t>mage_arcane_spellslinger_74</t>
  </si>
  <si>
    <t>mage_arcane_spellslinger_9</t>
  </si>
  <si>
    <t>mage_arcane_spellslinger_10</t>
  </si>
  <si>
    <t>mage_arcane_spellslinger_11</t>
  </si>
  <si>
    <t>mage_arcane_spellslinger_12</t>
  </si>
  <si>
    <t>mage_arcane_spellslinger_13</t>
  </si>
  <si>
    <t>mage_arcane_spellslinger_14</t>
  </si>
  <si>
    <t>mage_arcane_spellslinger_15</t>
  </si>
  <si>
    <t>mage_arcane_spellslinger_49</t>
  </si>
  <si>
    <t>mage_arcane_spellslinger_16</t>
  </si>
  <si>
    <t>mage_arcane_spellslinger_48</t>
  </si>
  <si>
    <t>mage_arcane_spellslinger_17</t>
  </si>
  <si>
    <t>mage_arcane_spellslinger_47</t>
  </si>
  <si>
    <t>mage_arcane_spellslinger_18</t>
  </si>
  <si>
    <t>mage_arcane_spellslinger_46</t>
  </si>
  <si>
    <t>mage_arcane_spellslinger_19</t>
  </si>
  <si>
    <t>mage_arcane_spellslinger_51</t>
  </si>
  <si>
    <t>mage_arcane_spellslinger_20</t>
  </si>
  <si>
    <t>mage_arcane_spellslinger_50</t>
  </si>
  <si>
    <t>mage_arcane_spellslinger_21</t>
  </si>
  <si>
    <t>mage_arcane_spellslinger_53</t>
  </si>
  <si>
    <t>mage_arcane_spellslinger_22</t>
  </si>
  <si>
    <t>mage_arcane_spellslinger_52</t>
  </si>
  <si>
    <t>mage_arcane_spellslinger_23</t>
  </si>
  <si>
    <t>mage_arcane_spellslinger_55</t>
  </si>
  <si>
    <t>mage_arcane_spellslinger_24</t>
  </si>
  <si>
    <t>mage_arcane_spellslinger_54</t>
  </si>
  <si>
    <t>mage_arcane_spellslinger_25</t>
  </si>
  <si>
    <t>mage_arcane_spellslinger_57</t>
  </si>
  <si>
    <t>mage_arcane_spellslinger_26</t>
  </si>
  <si>
    <t>mage_arcane_spellslinger_56</t>
  </si>
  <si>
    <t>mage_arcane_spellslinger_27</t>
  </si>
  <si>
    <t>mage_arcane_spellslinger_59</t>
  </si>
  <si>
    <t>mage_arcane_spellslinger_28</t>
  </si>
  <si>
    <t>mage_arcane_spellslinger_58</t>
  </si>
  <si>
    <t>mage_arcane_spellslinger_29</t>
  </si>
  <si>
    <t>mage_arcane_spellslinger_62</t>
  </si>
  <si>
    <t>mage_arcane_spellslinger_31</t>
  </si>
  <si>
    <t>mage_arcane_spellslinger_40</t>
  </si>
  <si>
    <t>mage_arcane_spellslinger_41</t>
  </si>
  <si>
    <t>mage_arcane_spellslinger_42</t>
  </si>
  <si>
    <t>mage_arcane_spellslinger_43</t>
  </si>
  <si>
    <t>mage_arcane_spellslinger_44</t>
  </si>
  <si>
    <t>mage_arcane_spellslinger_45</t>
  </si>
  <si>
    <t>mage_arcane_spellslinger_65</t>
  </si>
  <si>
    <t>mage_arcane_spellslinger_66</t>
  </si>
  <si>
    <t>mage_arcane_spellslinger_67</t>
  </si>
  <si>
    <t>mage_arcane_spellslinger_68</t>
  </si>
  <si>
    <t>mage_arcane_spellslinger_69</t>
  </si>
  <si>
    <t>mage_arcane_spellslinger_70</t>
  </si>
  <si>
    <t>mage_arcane_spellslinger_71</t>
  </si>
  <si>
    <t>mage_arcane_spellslinger_72</t>
  </si>
  <si>
    <t>mage_arcane_spellslinger_73</t>
  </si>
  <si>
    <t>mage_arcane_spellslinger_76</t>
  </si>
  <si>
    <t>mage_arcane_spellslinger_77</t>
  </si>
  <si>
    <t>mage_arcane_spellslinger_80</t>
  </si>
  <si>
    <t>mage_arcane_spellslinger_81</t>
  </si>
  <si>
    <t>mage_arcane_spellslinger_82</t>
  </si>
  <si>
    <t>mage_arcane_spellslinger_83</t>
  </si>
  <si>
    <t>mage_arcane_spellslinger_84</t>
  </si>
  <si>
    <t>mage_arcane_spellslinger_85</t>
  </si>
  <si>
    <t>mage_arcane_spellslinger_86</t>
  </si>
  <si>
    <t>mage_arcane_spellslinger_87</t>
  </si>
  <si>
    <t>mage_arcane_spellslinger_88</t>
  </si>
  <si>
    <t>Void Elf</t>
  </si>
  <si>
    <t>Mage</t>
  </si>
  <si>
    <t>Arcane</t>
  </si>
  <si>
    <t>C4DAAAAAAAAAAAAAAAAAAAAAAYGmZZmZmFmZGaGzAAAwAAgAmZmZZZmJWAAYbmZmZmZbx2MzMLjxYMzMGbMzMjBAwAAAAzMzsAAwMAA</t>
  </si>
  <si>
    <t>C4DAAAAAAAAAAAAAAAAAAAAAAYGmZZmZmFmZGaGzAAAwAAAAzMzssMzELAAsNmZmZmtNbzMmtxMjxMzMsxMzMmBAYAAAgZmZWAAYGAA</t>
  </si>
  <si>
    <t>C4DAAAAAAAAAAAAAAAAAAAAAAYGmZZmZmFmZGaGzAAAwAAAAzMzssMzELAAsNmZmZmtNbzMmlZmZMmZmhNmZmxAAYAAAgZmZ2AAYGAA</t>
  </si>
  <si>
    <t>C4DAAAAAAAAAAAAAAAAAAAAAAYGmZZmZmFmZGaGzAAAwAAAAzMzssMzELAAsNmZmZmlFLzMmlZmZMmZmhNmZmxAAYAAAgZmZWAAYGAA</t>
  </si>
  <si>
    <t>C4DAAAAAAAAAAAAAAAAAAAAAAYGmZZmZmFmZGaGzAAAwAAAAzMzssMzELAAsNmZmZmlNbzMmtxMjxMzMsxMzMmBAYAAAgZmZ2AAYGAA</t>
  </si>
  <si>
    <t>C4DAAAAAAAAAAAAAAAAAAAAAAYGmZZmZmFmZGaGzAAAwAAAAzMzssMzELAAsNmZmZmlFLzMmlxMjxMzMsxMzMmBAYAAAgZmZWAAYGAA</t>
  </si>
  <si>
    <t>C4DAAAAAAAAAAAAAAAAAAAAAAYGmZZmZmFmZGaGzAAAwAAAAzMzssMzELAAsNmZmZmlFLzMmlZmZMmZmhNmZmxAAYAAAgZmZ2AAYGAA</t>
  </si>
  <si>
    <t>C4DAAAAAAAAAAAAAAAAAAAAAAYGmZZmZmFmZGaGzAAAwAAAAzMzssMzELAAsNmZmZmtNbzMmlxMjxMzMsxMzMmBAYAAAgZmZWAAYGAA</t>
  </si>
  <si>
    <t>C4DAAAAAAAAAAAAAAAAAAAAAAYGmZZmZmFmZGaGzAAAwAAAAzMzssMzELAAsNmZmZmtNbzMmtZmZMmZmhNmZmxAAYAAAgZmZ2AAYGAA</t>
  </si>
  <si>
    <t>C4DAAAAAAAAAAAAAAAAAAAAAAYGmZZmZmFmZGaGzAAAwAAAAzMzssMzELAAsNmZmZmlFLzMmtZmZMmZmhNmZmxAAYAAAgZmZWAAYGAA</t>
  </si>
  <si>
    <t>C4DAAAAAAAAAAAAAAAAAAAAAAYGmZZmZmFmZGaGzAAAwAAAAzMzssMzELAAsNmZmZmlFLzMmtxMjxMzMsxMzMmBAYAAAgZmZWAAYGAA</t>
  </si>
  <si>
    <t>C4DAAAAAAAAAAAAAAAAAAAAAAYGmZZmZmFmZGaGzAAAwAAAAzMzssMzELAAsxMzMzstYbmxsNzMjxMzMsxMzMmBAYAAAgZmZWAAYGAA</t>
  </si>
  <si>
    <t>C4DAAAAAAAAAAAAAAAAAAAAAAYGmZZmZmFmZGaGzAAAwAAAAzMzssMzELAAsNmZmZmlFLzMmtZmZMmZmhNmZmxAAYAAAgZmZ2AAYGAA</t>
  </si>
  <si>
    <t>C4DAAAAAAAAAAAAAAAAAAAAAAYGmZZmZmFmZGaGzAAAwAAAAzMzssMzELAAsNmZmZmlFLzMmlxMjxMzMsxMzMmBAYAAAgZmZ2AAYGAA</t>
  </si>
  <si>
    <t>C4DAAAAAAAAAAAAAAAAAAAAAAYGmZZmZmFmZGaGzAAAwAAAAzMzssMzELAAsxMzMzstYbmxsMzMjxMzMsxMzMmBAYAAAgZmZ2AAYGAA</t>
  </si>
  <si>
    <t>C4DAAAAAAAAAAAAAAAAAAAAAAYGmZZmZmFmZGaGzAAAwAAAAzMzssMzELAAsNmZmZmtFLzMmlZmZMmZmhNmZmxAAYAAAgZmZWAAYGAA</t>
  </si>
  <si>
    <t>C4DAAAAAAAAAAAAAAAAAAAAAAYGmZZmZmFmZGaGzAAAwAAAAzMzssMzELAAsNmZmZmtNbzMmtxMjxMzMsxMzMmBAYAAAgZmZ2AAYGAA</t>
  </si>
  <si>
    <t>C4DAAAAAAAAAAAAAAAAAAAAAAYGmZZmZmFmZGaGzAAAwAAAAzMzssMzELAAsNmZmZmtFLzMmlxMjxMzMsxMzMmBAYAAAgZmZWAAYGAA</t>
  </si>
  <si>
    <t>C4DAAAAAAAAAAAAAAAAAAAAAAYGmZZmZmFmZGaGzAAAwAAAAzMzssMzELAAsNmZmZmtFLzMmlZmZMmZmhNmZmxAAYAAAgZmZ2AAYGAA</t>
  </si>
  <si>
    <t>C4DAAAAAAAAAAAAAAAAAAAAAAYGmZZmZmFmZGaGzAAAwAAAAzMzssMzELAAsNmZmZmlFLzMmtxMjxMzMsxMzMmBAYAAAgZmZ2AAYGAA</t>
  </si>
  <si>
    <t>C4DAAAAAAAAAAAAAAAAAAAAAAYGmZZmZmFmZGaGzAAAwAAAAzMzssMzELAAsNmZmZmtFLzMmtZmZMmZmhNmZmxAAYAAAgZmZWAAYGAA</t>
  </si>
  <si>
    <t>C4DAAAAAAAAAAAAAAAAAAAAAAYGmZZmZmFmZGaGzAAAwAAAAzMzssMzELAAsNmZmZmtFLzMmtxMjxMzMsxMzMmBAYAAAgZmZWAAYGAA</t>
  </si>
  <si>
    <t>C4DAAAAAAAAAAAAAAAAAAAAAAYGmZZmZmFmZGaGzAAAwAAAAzMzssMzELAAsxMzMzssYbmxsNzMjxMzMsxMzMmBAYAAAgZmZWAAYGAA</t>
  </si>
  <si>
    <t>C4DAAAAAAAAAAAAAAAAAAAAAAYGmZZmZmFmZGaGzAAAwAAAAzMzssMzELAAsNmZmZmtFLzMmtZmZMmZmhNmZmxAAYAAAgZmZ2AAYGAA</t>
  </si>
  <si>
    <t>C4DAAAAAAAAAAAAAAAAAAAAAAYGmZZmZmFmZGaGzAAAwAAAAzMzssMzELAAsNmZmZmtFLzMmlxMjxMzMsxMzMmBAYAAAgZmZ2AAYGAA</t>
  </si>
  <si>
    <t>C4DAAAAAAAAAAAAAAAAAAAAAAYGmZZmZmFmZGaGzAAAwAAAAzMzssMzELAAsxMzMzssYbmxsMzMjxMzMsxMzMmBAYAAAgZmZ2AAYGAA</t>
  </si>
  <si>
    <t>C4DAAAAAAAAAAAAAAAAAAAAAAYGmZZmZmFmZGaGzAAAwAAAAzMzssMzELAAsNmZmZmlFbzMmlZmZMmZmhNmZmxAAYAAAgZmZWAAYGAA</t>
  </si>
  <si>
    <t>C4DAAAAAAAAAAAAAAAAAAAAAAYGmZZmZmFmZGaGzAAAwAAAAzMzssMzELAAsNmZmZmlFbzMmlZmZMmZmhNmZmxAAYAAAgZmZ2AAYGAA</t>
  </si>
  <si>
    <t>C4DAAAAAAAAAAAAAAAAAAAAAAYGmZZmZmFmZGaGzAAAwAAAAzMzssMzELAAsNmZmZmlFbzMmtZmZMmZmhNmZmxAAYAAAgZmZWAAYGAA</t>
  </si>
  <si>
    <t>C4DAAAAAAAAAAAAAAAAAAAAAAYGmZZmZmFmZGaGzAAAwAAAAzMzssMzELAAsNmZmZmlFbzMmtZmZMmZmhNmZmxAAYAAAgZmZ2AAYGAA</t>
  </si>
  <si>
    <t>C4DAAAAAAAAAAAAAAAAAAAAAAYGmZZmZmFmZGaGzAAAwAAAAzMzssMzELAAsNmZmZmtFbzMmlZmZMmZmhNmZmxAAYAAAgZmZWAAYGAA</t>
  </si>
  <si>
    <t>C4DAAAAAAAAAAAAAAAAAAAAAAYGmZZmZmFmZGaGzAAAwAAAAzMzssMzELAAsNmZmZmtFbzMmlZmZMmZmhNmZmxAAYAAAgZmZ2AAYGAA</t>
  </si>
  <si>
    <t>C4DAAAAAAAAAAAAAAAAAAAAAAYGmZZmZmFmZGaGzAAAwAAAAzMzssMzELAAsNmZmZmtFbzMmtZmZMmZmhNmZmxAAYAAAgZmZWAAYGAA</t>
  </si>
  <si>
    <t>C4DAAAAAAAAAAAAAAAAAAAAAAYGmZZmZmFmZGaGzAAAwAAAAzMzssMzELAAsNmZmZmlNLzMmlxMjxMzMsxMzMmBAYAAAgZmZWAAYGAA</t>
  </si>
  <si>
    <t>C4DAAAAAAAAAAAAAAAAAAAAAAYGmZZmZmFmZGaGzAAAwAAAAzMzssMzELAAsNmZmZmtFbzMmtZmZMmZmhNmZmxAAYAAAgZmZ2AAYGAA</t>
  </si>
  <si>
    <t>C4DAAAAAAAAAAAAAAAAAAAAAAYGmZZmZmFmZGaGzAAAwAAAAzMzssMzELAAsNmZmZmtFbzMmtxMjxMzMsxMzMmBAYAAAgZmZ2AAYGAA</t>
  </si>
  <si>
    <t>C4DAAAAAAAAAAAAAAAAAAAAAAYGmZZmZmFmZGaGzAAAwAAAAzMzssMzELAAsNmZmZmlNLzMmlZmZMmZmhNmZmxAAYAAAgZmZWAAYGAA</t>
  </si>
  <si>
    <t>C4DAAAAAAAAAAAAAAAAAAAAAAYGmZZmZmFmZGaGzAAAwAAAAzMzssMzELAAsNmZmZmtFbzMmtxMjxMzMsxMzMmBAYAAAgZmZWAAYGAA</t>
  </si>
  <si>
    <t>C4DAAAAAAAAAAAAAAAAAAAAAAYGmZZmZmFmZGaGzAAAwAAAAzMzssMzELAAsNmZmZmlNLzMmlZmZMmZmhNmZmxAAYAAAgZmZ2AAYGAA</t>
  </si>
  <si>
    <t>C4DAAAAAAAAAAAAAAAAAAAAAAYGmZZmZmFmZGaGzAAAwAAAAzMzssMzELAAsNmZmZmtFbzMmlxMjxMzMsxMzMmBAYAAAgZmZ2AAYGAA</t>
  </si>
  <si>
    <t>C4DAAAAAAAAAAAAAAAAAAAAAAYGmZZmZmFmZGaGzAAAwAAAAzMzssMzELAAsNmZmZmlNLzMmtZmZMmZmhNmZmxAAYAAAgZmZWAAYGAA</t>
  </si>
  <si>
    <t>C4DAAAAAAAAAAAAAAAAAAAAAAYGmZZmZmFmZGaGzAAAwAAAAzMzssMzELAAsNmZmZmlNLzMmtxMjxMzMsxMzMmBAYAAAgZmZWAAYGAA</t>
  </si>
  <si>
    <t>C4DAAAAAAAAAAAAAAAAAAAAAAYGmZZmZmFmZGaGzAAAwAAAAzMzssMzELAAsNmZmZmlNLzMmtZmZMmZmhNmZmxAAYAAAgZmZ2AAYGAA</t>
  </si>
  <si>
    <t>C4DAAAAAAAAAAAAAAAAAAAAAAYGmZZmZmFmZGaGzAAAwAAAAzMzssMzELAAsNmZmZmlNLzMmlxMjxMzMsxMzMmBAYAAAgZmZ2AAYGAA</t>
  </si>
  <si>
    <t>C4DAAAAAAAAAAAAAAAAAAAAAAYGmZZmZmFmZGaGzAAAwAAAAzMzssMzELAAsNmZmZmtNLzMmlZmZMmZmhNmZmxAAYAAAgZmZWAAYGAA</t>
  </si>
  <si>
    <t>C4DAAAAAAAAAAAAAAAAAAAAAAYGmZZmZmFmZGaGzAAAwAAAAzMzssMzELAAsNmZmZmtNLzMmlxMjxMzMsxMzMmBAYAAAgZmZWAAYGAA</t>
  </si>
  <si>
    <t>C4DAAAAAAAAAAAAAAAAAAAAAAYGmZZmZmFmZGaGzAAAwAAAAzMzssMzELAAsNmZmZmtNLzMmlZmZMmZmhNmZmxAAYAAAgZmZ2AAYGAA</t>
  </si>
  <si>
    <t>C4DAAAAAAAAAAAAAAAAAAAAAAYGmZZmZmFmZGaGzAAAwAAAAzMzssMzELAAsNmZmZmlNLzMmtxMjxMzMsxMzMmBAYAAAgZmZ2AAYGAA</t>
  </si>
  <si>
    <t>C4DAAAAAAAAAAAAAAAAAAAAAAYGmZZmZmFmZGaGzAAAwAAAAzMzssMzELAAsNmZmZmtNLzMmtZmZMmZmhNmZmxAAYAAAgZmZWAAYGAA</t>
  </si>
  <si>
    <t>C4DAAAAAAAAAAAAAAAAAAAAAAYGmZZmZmFmZGaGzAAAwAAAAzMzssMzELAAsNmZmZmtNLzMmtxMjxMzMsxMzMmBAYAAAgZmZWAAYGAA</t>
  </si>
  <si>
    <t>C4DAAAAAAAAAAAAAAAAAAAAAAYGmZZmZmFmZGaGzAAAwAAAAzMzssMzELAAsNmZmZmtNLzMmtZmZMmZmhNmZmxAAYAAAgZmZ2AAYGAA</t>
  </si>
  <si>
    <t>C4DAAAAAAAAAAAAAAAAAAAAAAYGmZZmZmFmZGaGzAAAwAAAAzMzssMzELAAsNmZmZmtNLzMmlxMjxMzMsxMzMmBAYAAAgZmZ2AAYGAA</t>
  </si>
  <si>
    <t>C4DAAAAAAAAAAAAAAAAAAAAAAYGmZZmZmFmZGaGzAAAwAAAAzMzssMzELAAsNmZmZmlNbzMmlZmZMmZmhNmZmxAAYAAAgZmZWAAYGAA</t>
  </si>
  <si>
    <t>C4DAAAAAAAAAAAAAAAAAAAAAAYGmZZmZmFmZGaGzAAAwAAAAzMzssMzELAAsNmZmZmlNbzMmlxMjxMzMsxMzMmBAYAAAgZmZWAAYGAA</t>
  </si>
  <si>
    <t>C4DAAAAAAAAAAAAAAAAAAAAAAYGmZZmZmFmZGaGzAAAwAAAAzMzssMzELAAsNmZmZmlNbzMmlZmZMmZmhNmZmxAAYAAAgZmZ2AAYGAA</t>
  </si>
  <si>
    <t>C4DAAAAAAAAAAAAAAAAAAAAAAYGmZZmZmFmZGaGzAAAwAAAAzMzssMzELAAsNmZmZmtNLzMmtxMjxMzMsxMzMmBAYAAAgZmZ2AAYGAA</t>
  </si>
  <si>
    <t>C4DAAAAAAAAAAAAAAAAAAAAAAYGmZZmZmFmZGaGzAAAwAAAAzMzssMzELAAsNmZmZmlNbzMmtZmZMmZmhNmZmxAAYAAAgZmZWAAYGAA</t>
  </si>
  <si>
    <t>C4DAAAAAAAAAAAAAAAAAAAAAAYGmZZmZmFmZGaGzAAAwAAAAzMzssMzELAAsNmZmZmlNbzMmtxMjxMzMsxMzMmBAYAAAgZmZWAAYGAA</t>
  </si>
  <si>
    <t>C4DAAAAAAAAAAAAAAAAAAAAAAYGmZZmZmFmZGaGzAAAwAAAAzMzssMzELAAsNmZmZmlNbzMmtZmZMmZmhNmZmxAAYAAAgZmZ2AAYGAA</t>
  </si>
  <si>
    <t>C4DAAAAAAAAAAAAAAAAAAAAAAYGmZZmZmFmZGaGzAAAwAAAAzMzssMzELAAsNmZmZmlNbzMmlxMjxMzMsxMzMmBAYAAAgZmZ2AAYGAA</t>
  </si>
  <si>
    <t>C4DAAAAAAAAAAAAAAAAAAAAAAYGmZZmZmFmZGaGzAAAwAAAAzMzssMzELAAsNmZmZmtNbzMmlZmZMmZmhNmZmxAAYAAAgZmZWAAYGAA</t>
  </si>
  <si>
    <t>C4DAAAAAAAAAAAAAAAAAAAAAAYGmZZmZmFmZGaGzAAAwAAAAzMzssMzELAAsNmZmZmtNbzMmlxMjxMzMsxMzMmBAYAAAgZmZ2AAYGAA</t>
  </si>
  <si>
    <t>C4DAAAAAAAAAAAAAAAAAAAAAAYGmZZmZmFmZGaGzAAAwAAAAzMzssMzELAAsNmZmZmtNbzMmtZmZMmZmhNmZmxAAYAAAgZmZWAAYGAA</t>
  </si>
  <si>
    <t>C4DAAAAAAAAAAAAAAAAAAAAAAYGmZZmZmFmZGaGzAAAwAAAAzMzssMzELAAsNmZmZmtFLzMmtxMjxMzMsxMzMmBAYAAAgZmZ2AAYGAA</t>
  </si>
  <si>
    <t>C4DAAAAAAAAAAAAAAAAAAAAAAYGmZZmZmFmZGaGzAAAwAAAAzMzssMzELAAsNmZmZmlFbzMmlxMjxMzMsxMzMmBAYAAAgZmZWAAYGAA</t>
  </si>
  <si>
    <t>C4DAAAAAAAAAAAAAAAAAAAAAAYGmZZmZmFmZGaGzAAAwAAAAzMzssMzELAAsNmZmZmlFbzMmlxMjxMzMsxMzMmBAYAAAgZmZ2AAYGAA</t>
  </si>
  <si>
    <t>C4DAAAAAAAAAAAAAAAAAAAAAAYGmZZmZmFmZGaGzAAAwAAAAzMzssMzELAAsNmZmZmlFbzMmtxMjxMzMsxMzMmBAYAAAgZmZWAAYGAA</t>
  </si>
  <si>
    <t>C4DAAAAAAAAAAAAAAAAAAAAAAYGmZZmZmFmZGaGzAAAwAAAAzMzssMzELAAsNmZmZmlFbzMmtxMjxMzMsxMzMmBAYAAAgZmZ2AAYGAA</t>
  </si>
  <si>
    <t>C4DAAAAAAAAAAAAAAAAAAAAAAYGmZZmZmFmZGaGzAAAwAAAAzMzssMzELAAsNmZmZmtFbzMmlxMjxMzMsxMzMmBAYAAAgZmZWAAYGAA</t>
  </si>
  <si>
    <t>C4DAAAAAAAAAAAAAAAAAAAAAAYGmZZmZmFmZGaGzAAAwAAAAzMzssMzELAAsxMzMzssYZmxsMzMjxMzMsxMzMmBAYAAAgZmZWAAYGAA</t>
  </si>
  <si>
    <t>C4DAAAAAAAAAAAAAAAAAAAAAAYGmZZmZmFmZGaGzAAAwAAAAzMzssMzELAAsxMzMzssYZmxsMzMjxMzMsxMzMmBAYAAAgZmZ2AAYGAA</t>
  </si>
  <si>
    <t>C4DAAAAAAAAAAAAAAAAAAAAAAYGmZZmZmFmZGaGzAAAwAAAAzMzssMzELAAsxMzMzssYZmxsNzMjxMzMsxMzMmBAYAAAgZmZWAAYGAA</t>
  </si>
  <si>
    <t>C4DAAAAAAAAAAAAAAAAAAAAAAYGmZZmZmFmZGaGzAAAwAAAAzMzssMzELAAsxMzMzssYZmxsNzMjxMzMsxMzMmBAYAAAgZmZ2AAYGAA</t>
  </si>
  <si>
    <t>C4DAAAAAAAAAAAAAAAAAAAAAAYGmZZmZmFmZGaGzAAAwAAAAzMzssMzELAAsxMzMzstYZmxsMzMjxMzMsxMzMmBAYAAAgZmZWAAYGAA</t>
  </si>
  <si>
    <t>C4DAAAAAAAAAAAAAAAAAAAAAAYGmZZmZmFmZGaGzAAAwAAAAzMzssMzELAAsxMzMzstYZmxsMzMjxMzMsxMzMmBAYAAAgZmZ2AAYGAA</t>
  </si>
  <si>
    <t>C4DAAAAAAAAAAAAAAAAAAAAAAYGmZZmZmFmZGaGzAAAwAAAAzMzssMzELAAsxMzMzstYZmxsNzMjxMzMsxMzMmBAYAAAgZmZWAAYGAA</t>
  </si>
  <si>
    <t>C4DAAAAAAAAAAAAAAAAAAAAAAYGmZZmZmFmZGaGzAAAwAAAAzMzssMzELAAsxMzMzstYZmxsNzMjxMzMsxMzMmBAYAAAgZmZ2AAYGAA</t>
  </si>
  <si>
    <t>C4DAAAAAAAAAAAAAAAAAAAAAAYGmZZmZmFmZGaGzAAAwAAAAzMzssMzELAAsxMzMzssYbmxsMzMjxMzMsxMzMmBAYAAAgZmZWAAYGAA</t>
  </si>
  <si>
    <t>C4DAAAAAAAAAAAAAAAAAAAAAAYGmZZmZmFmZGaGzAAAwAAAAzMzssMzELAAsxMzMzssYbmxsNzMjxMzMsxMzMmBAYAAAgZmZ2AAYGAA</t>
  </si>
  <si>
    <t>C4DAAAAAAAAAAAAAAAAAAAAAAYGmZZmZmFmZGaGzAAAwAAAAzMzssMzELAAsxMzMzstYbmxsMzMjxMzMsxMzMmBAYAAAgZmZWAAYGAA</t>
  </si>
  <si>
    <t>C4DAAAAAAAAAAAAAAAAAAAAAAYGmZZmZmFmZGaGzAAAwAAAAzMzssMzELAAsxMzMzstYbmxsNzMjxMzMsxMzMmBAYAAAgZmZ2AAYGAA</t>
  </si>
  <si>
    <t>C4DAAAAAAAAAAAAAAAAAAAAAAYGmZZmZmFmZGaGzAAAwAAAAzMzssMzELAAsxMzMzssZZmxsMzMjxMzMsxMzMmBAYAAAgZmZWAAYGAA</t>
  </si>
  <si>
    <t>C4DAAAAAAAAAAAAAAAAAAAAAAYGmZZmZmFmZGaGzAAAwAAAAzMzssMzELAAsxMzMzssZZmxsMzMjxMzMsxMzMmBAYAAAgZmZ2AAYGAA</t>
  </si>
  <si>
    <t>C4DAAAAAAAAAAAAAAAAAAAAAAYGmZZmZmFmZGaGzAAAwAAAAzMzssMzELAAsxMzMzssZZmxsNzMjxMzMsxMzMmBAYAAAgZmZWAAYGAA</t>
  </si>
  <si>
    <t>C4DAAAAAAAAAAAAAAAAAAAAAAYGmZZmZmFmZGaGzAAAwAAAAzMzssMzELAAsxMzMzssZZmxsNzMjxMzMsxMzMmBAYAAAgZmZ2AAYGAA</t>
  </si>
  <si>
    <t>C4DAAAAAAAAAAAAAAAAAAAAAAYGmZZmZmFmZGaGzAAAwAAAAzMzssMzELAAsxMzMzstZZmxsMzMjxMzMsxMzMmBAYAAAgZmZWAAYGAA</t>
  </si>
  <si>
    <t>C4DAAAAAAAAAAAAAAAAAAAAAAYGmZZmZmFmZGaGzAAAwAAAAzMzssMzELAAsxMzMzstZZmxsMzMjxMzMsxMzMmBAYAAAgZmZ2AAYGAA</t>
  </si>
  <si>
    <t>C4DAAAAAAAAAAAAAAAAAAAAAAYGmZZmZmFmZGaGzAAAwAAAAzMzssMzELAAsxMzMzstZZmxsNzMjxMzMsxMzMmBAYAAAgZmZWAAYGAA</t>
  </si>
  <si>
    <t>C4DAAAAAAAAAAAAAAAAAAAAAAYGmZZmZmFmZGaGzAAAwAAAAzMzssMzELAAsxMzMzstZZmxsNzMjxMzMsxMzMmBAYAAAgZmZ2AAYGAA</t>
  </si>
  <si>
    <t>galactic_gladiators_badge_of_ferocity</t>
  </si>
  <si>
    <t>galactic_gladiators_insignia_of_alacrity</t>
  </si>
  <si>
    <t>Simulation Report</t>
  </si>
  <si>
    <t>Source CSV: sim_proc_combined_results.csv</t>
  </si>
  <si>
    <t>Generated: 2025-12-15 20:58:20</t>
  </si>
  <si>
    <t>Top 100 builds</t>
  </si>
  <si>
    <t>changed_talents</t>
  </si>
  <si>
    <t>1 Target DPS</t>
  </si>
  <si>
    <t>1 Target Priority</t>
  </si>
  <si>
    <t>Weighted Avg</t>
  </si>
  <si>
    <t>label</t>
  </si>
  <si>
    <t>weighted_avg</t>
  </si>
  <si>
    <t>602/1237/107/519</t>
  </si>
  <si>
    <t>galactic_gladiators_badge_of_ferocity + galactic_gladiators_insignia_of_alacrity</t>
  </si>
  <si>
    <t>Dimension:</t>
  </si>
  <si>
    <t>Metric:</t>
  </si>
  <si>
    <t>both</t>
  </si>
  <si>
    <t>Select a dimension and metric set to view the pivot table.</t>
  </si>
  <si>
    <t>Index</t>
  </si>
  <si>
    <t>No talent columns detected.</t>
  </si>
  <si>
    <t>Source:</t>
  </si>
  <si>
    <t>Summary</t>
  </si>
  <si>
    <t>Label</t>
  </si>
  <si>
    <t>Summary Labels</t>
  </si>
  <si>
    <t>Summary Values</t>
  </si>
  <si>
    <t>Void Elf | galactic_gladiators_badge_of_ferocity + galactic_gladiators_insignia_of_alacrity | C4DAAAAAAAAAAAAAAAAAAAAAAYGmZZmZmFmZGaGzAAAwAAgAmZmZZZmJW…</t>
  </si>
  <si>
    <t>Void Elf | galactic_gladiators_badge_of_ferocity + galactic_gladiators_insignia_of_alacrity | C4DAAAAAAAAAAAAAAAAAAAAAAYGmZZmZmFmZGaGzAAAwAAAAzMzssMzEL…</t>
  </si>
  <si>
    <t>talent_str Labels</t>
  </si>
  <si>
    <t>talent_str Values</t>
  </si>
  <si>
    <t>race Labels</t>
  </si>
  <si>
    <t>race Values</t>
  </si>
  <si>
    <t>trinket Labels</t>
  </si>
  <si>
    <t>trinket Values</t>
  </si>
  <si>
    <t>stat_profile Labels</t>
  </si>
  <si>
    <t>stat_profile Values</t>
  </si>
  <si>
    <t>trinket_pair Labels</t>
  </si>
  <si>
    <t>trinket_pair Values</t>
  </si>
  <si>
    <t>individual talents Labels</t>
  </si>
  <si>
    <t>individual talents Values</t>
  </si>
  <si>
    <t>Num</t>
  </si>
  <si>
    <t>Max</t>
  </si>
  <si>
    <t>Min</t>
  </si>
  <si>
    <t>Lower</t>
  </si>
  <si>
    <t>Upper</t>
  </si>
  <si>
    <t>Relative</t>
  </si>
  <si>
    <t>Stat Profile Heatmaps — Pairwise (Mean DPS)</t>
  </si>
  <si>
    <t>Each heatmap shows mean DPS for the pair; other stats are averaged. Empty cells = no samples.</t>
  </si>
  <si>
    <t>Crit \ Haste (Mean DPS)</t>
  </si>
  <si>
    <t>Crit \ Haste</t>
  </si>
  <si>
    <t>Crit \ Vers (Mean DPS)</t>
  </si>
  <si>
    <t>Crit \ Vers</t>
  </si>
  <si>
    <t>Crit \ Mastery (Mean DPS)</t>
  </si>
  <si>
    <t>Crit \ Mastery</t>
  </si>
  <si>
    <t>Haste \ Vers (Mean DPS)</t>
  </si>
  <si>
    <t>Haste \ Vers</t>
  </si>
  <si>
    <t>Haste \ Mastery (Mean DPS)</t>
  </si>
  <si>
    <t>Haste \ Mastery</t>
  </si>
  <si>
    <t>Vers \ Mastery (Mean DPS)</t>
  </si>
  <si>
    <t>Vers \ Mastery</t>
  </si>
  <si>
    <t>Stat Map — Unified 2D View</t>
  </si>
  <si>
    <t>Projected from [crit, haste, vers, mastery] using PCA; color = DPS; size = samples.</t>
  </si>
  <si>
    <t>PC1</t>
  </si>
  <si>
    <t>PC2</t>
  </si>
  <si>
    <t>DPS</t>
  </si>
  <si>
    <t>Samples</t>
  </si>
  <si>
    <t>Stat Radar — Top Profiles (Normalized per-axis)</t>
  </si>
  <si>
    <t>Each axis is scaled 0–1 using min/max across all profiles; series = top profiles by mean DPS.</t>
  </si>
  <si>
    <t>Series</t>
  </si>
  <si>
    <t>Crit</t>
  </si>
  <si>
    <t>Haste</t>
  </si>
  <si>
    <t>Vers</t>
  </si>
  <si>
    <t>Mastery</t>
  </si>
  <si>
    <t>602/1237/107/519 (DPS 51847)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</si>
</sst>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%"/>
    <numFmt numFmtId="166" formatCode="0.0000"/>
    <numFmt numFmtId="167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">
    <dxf>
      <font>
        <color rgb="FFFFFFFF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Ranked Builds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Weighted Avg</c:v>
          </c:tx>
          <c:cat>
            <c:numRef>
              <c:f>'Ranked Chart'!$A$6:$A$25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cat>
          <c:val>
            <c:numRef>
              <c:f>'Ranked Chart'!$E$6:$E$25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/>
                </a:r>
              </a:p>
            </c:rich>
          </c:tx>
          <c:layout/>
        </c:title>
        <c:numFmt formatCode=";;;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 Map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/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'Stat Map'!$A$5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'Stat Map'!$B$5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PC1</a:t>
                </a:r>
              </a:p>
            </c:rich>
          </c:tx>
          <c:layout/>
        </c:title>
        <c:numFmt formatCode="0.0000" sourceLinked="0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PC2</a:t>
                </a:r>
              </a:p>
            </c:rich>
          </c:tx>
          <c:layout/>
        </c:title>
        <c:numFmt formatCode="0.0000" sourceLinked="0"/>
        <c:tickLblPos val="nextTo"/>
        <c:crossAx val="500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 Radar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strRef>
              <c:f>'Stat Radar'!$A$5</c:f>
              <c:strCache>
                <c:ptCount val="1"/>
                <c:pt idx="0">
                  <c:v>602/1237/107/519 (DPS 51847)</c:v>
                </c:pt>
              </c:strCache>
            </c:strRef>
          </c:tx>
          <c:spPr>
            <a:solidFill>
              <a:srgbClr val="4472C4">
                <a:alpha val="30000"/>
              </a:srgbClr>
            </a:solidFill>
            <a:ln>
              <a:solidFill>
                <a:srgbClr val="4472C4"/>
              </a:solidFill>
            </a:ln>
          </c:spPr>
          <c:marker>
            <c:symbol val="circle"/>
            <c:size val="4"/>
            <c:spPr>
              <a:solidFill>
                <a:srgbClr val="4472C4"/>
              </a:solidFill>
              <a:ln>
                <a:noFill/>
              </a:ln>
            </c:spPr>
          </c:marker>
          <c:cat>
            <c:strRef>
              <c:f>'Stat Radar'!$B$4:$E$4</c:f>
              <c:strCache>
                <c:ptCount val="4"/>
                <c:pt idx="0">
                  <c:v>Crit</c:v>
                </c:pt>
                <c:pt idx="1">
                  <c:v>Haste</c:v>
                </c:pt>
                <c:pt idx="2">
                  <c:v>Vers</c:v>
                </c:pt>
                <c:pt idx="3">
                  <c:v>Mastery</c:v>
                </c:pt>
              </c:strCache>
            </c:strRef>
          </c:cat>
          <c:val>
            <c:numRef>
              <c:f>'Stat Radar'!$B$5:$E$5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030001"/>
        <c:axId val="50030002"/>
      </c:radarChart>
      <c:catAx>
        <c:axId val="50030001"/>
        <c:scaling>
          <c:orientation val="minMax"/>
        </c:scaling>
        <c:axPos val="b"/>
        <c:majorGridlines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30001"/>
        <c:crosses val="autoZero"/>
        <c:crossBetween val="between"/>
        <c:majorUnit val="0.2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30</xdr:col>
      <xdr:colOff>514350</xdr:colOff>
      <xdr:row>30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22</xdr:col>
      <xdr:colOff>0</xdr:colOff>
      <xdr:row>31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19</xdr:col>
      <xdr:colOff>0</xdr:colOff>
      <xdr:row>28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22</v>
      </c>
      <c r="D2">
        <v>57840.8975860845</v>
      </c>
      <c r="E2">
        <v>57840.8975860845</v>
      </c>
      <c r="F2" t="s">
        <v>111</v>
      </c>
      <c r="G2" t="s">
        <v>112</v>
      </c>
      <c r="H2" t="s">
        <v>113</v>
      </c>
      <c r="I2">
        <v>18.09767879487153</v>
      </c>
      <c r="J2" t="s">
        <v>114</v>
      </c>
      <c r="K2">
        <v>1</v>
      </c>
      <c r="L2">
        <v>602</v>
      </c>
      <c r="M2">
        <v>1237</v>
      </c>
      <c r="N2">
        <v>107</v>
      </c>
      <c r="O2">
        <v>519</v>
      </c>
      <c r="P2">
        <v>52858.47767183236</v>
      </c>
      <c r="Q2">
        <v>63326.33752903253</v>
      </c>
      <c r="R2">
        <v>1988.92317176628</v>
      </c>
      <c r="S2" t="s">
        <v>203</v>
      </c>
      <c r="T2" t="s">
        <v>204</v>
      </c>
    </row>
    <row r="3" spans="1:20">
      <c r="A3" t="s">
        <v>20</v>
      </c>
      <c r="B3" t="s">
        <v>22</v>
      </c>
      <c r="C3" t="s">
        <v>23</v>
      </c>
      <c r="D3">
        <v>50507.89631137845</v>
      </c>
      <c r="E3">
        <v>50507.89631137856</v>
      </c>
      <c r="F3" t="s">
        <v>111</v>
      </c>
      <c r="G3" t="s">
        <v>112</v>
      </c>
      <c r="H3" t="s">
        <v>113</v>
      </c>
      <c r="I3">
        <v>20.43741325648496</v>
      </c>
      <c r="J3" t="s">
        <v>115</v>
      </c>
      <c r="K3">
        <v>1</v>
      </c>
      <c r="L3">
        <v>602</v>
      </c>
      <c r="M3">
        <v>1237</v>
      </c>
      <c r="N3">
        <v>107</v>
      </c>
      <c r="O3">
        <v>519</v>
      </c>
      <c r="P3">
        <v>44894.08635477057</v>
      </c>
      <c r="Q3">
        <v>55216.59385108391</v>
      </c>
      <c r="R3">
        <v>1817.71989102572</v>
      </c>
      <c r="S3" t="s">
        <v>203</v>
      </c>
      <c r="T3" t="s">
        <v>204</v>
      </c>
    </row>
    <row r="4" spans="1:20">
      <c r="A4" t="s">
        <v>20</v>
      </c>
      <c r="B4" t="s">
        <v>22</v>
      </c>
      <c r="C4" t="s">
        <v>24</v>
      </c>
      <c r="D4">
        <v>54813.21061266163</v>
      </c>
      <c r="E4">
        <v>54813.21061266167</v>
      </c>
      <c r="F4" t="s">
        <v>111</v>
      </c>
      <c r="G4" t="s">
        <v>112</v>
      </c>
      <c r="H4" t="s">
        <v>113</v>
      </c>
      <c r="I4">
        <v>24.6887734302031</v>
      </c>
      <c r="J4" t="s">
        <v>116</v>
      </c>
      <c r="K4">
        <v>1</v>
      </c>
      <c r="L4">
        <v>602</v>
      </c>
      <c r="M4">
        <v>1237</v>
      </c>
      <c r="N4">
        <v>107</v>
      </c>
      <c r="O4">
        <v>519</v>
      </c>
      <c r="P4">
        <v>49500.70607134696</v>
      </c>
      <c r="Q4">
        <v>63033.41544932703</v>
      </c>
      <c r="R4">
        <v>2143.12290830363</v>
      </c>
      <c r="S4" t="s">
        <v>203</v>
      </c>
      <c r="T4" t="s">
        <v>204</v>
      </c>
    </row>
    <row r="5" spans="1:20">
      <c r="A5" t="s">
        <v>20</v>
      </c>
      <c r="B5" t="s">
        <v>22</v>
      </c>
      <c r="C5" t="s">
        <v>25</v>
      </c>
      <c r="D5">
        <v>55493.9613197497</v>
      </c>
      <c r="E5">
        <v>55493.96131974977</v>
      </c>
      <c r="F5" t="s">
        <v>111</v>
      </c>
      <c r="G5" t="s">
        <v>112</v>
      </c>
      <c r="H5" t="s">
        <v>113</v>
      </c>
      <c r="I5">
        <v>24.36230039689059</v>
      </c>
      <c r="J5" t="s">
        <v>117</v>
      </c>
      <c r="K5">
        <v>1</v>
      </c>
      <c r="L5">
        <v>602</v>
      </c>
      <c r="M5">
        <v>1237</v>
      </c>
      <c r="N5">
        <v>107</v>
      </c>
      <c r="O5">
        <v>519</v>
      </c>
      <c r="P5">
        <v>48604.05471665452</v>
      </c>
      <c r="Q5">
        <v>62123.66027550621</v>
      </c>
      <c r="R5">
        <v>2068.933020812081</v>
      </c>
      <c r="S5" t="s">
        <v>203</v>
      </c>
      <c r="T5" t="s">
        <v>204</v>
      </c>
    </row>
    <row r="6" spans="1:20">
      <c r="A6" t="s">
        <v>20</v>
      </c>
      <c r="B6" t="s">
        <v>22</v>
      </c>
      <c r="C6" t="s">
        <v>26</v>
      </c>
      <c r="D6">
        <v>47978.91770312911</v>
      </c>
      <c r="E6">
        <v>47978.91770312916</v>
      </c>
      <c r="F6" t="s">
        <v>111</v>
      </c>
      <c r="G6" t="s">
        <v>112</v>
      </c>
      <c r="H6" t="s">
        <v>113</v>
      </c>
      <c r="I6">
        <v>24.01398068898142</v>
      </c>
      <c r="J6" t="s">
        <v>118</v>
      </c>
      <c r="K6">
        <v>1</v>
      </c>
      <c r="L6">
        <v>602</v>
      </c>
      <c r="M6">
        <v>1237</v>
      </c>
      <c r="N6">
        <v>107</v>
      </c>
      <c r="O6">
        <v>519</v>
      </c>
      <c r="P6">
        <v>42499.00730903926</v>
      </c>
      <c r="Q6">
        <v>54020.65534105097</v>
      </c>
      <c r="R6">
        <v>1833.40462456523</v>
      </c>
      <c r="S6" t="s">
        <v>203</v>
      </c>
      <c r="T6" t="s">
        <v>204</v>
      </c>
    </row>
    <row r="7" spans="1:20">
      <c r="A7" t="s">
        <v>20</v>
      </c>
      <c r="B7" t="s">
        <v>22</v>
      </c>
      <c r="C7" t="s">
        <v>27</v>
      </c>
      <c r="D7">
        <v>55141.16329278853</v>
      </c>
      <c r="E7">
        <v>55141.16329278859</v>
      </c>
      <c r="F7" t="s">
        <v>111</v>
      </c>
      <c r="G7" t="s">
        <v>112</v>
      </c>
      <c r="H7" t="s">
        <v>113</v>
      </c>
      <c r="I7">
        <v>22.16610090238603</v>
      </c>
      <c r="J7" t="s">
        <v>119</v>
      </c>
      <c r="K7">
        <v>1</v>
      </c>
      <c r="L7">
        <v>602</v>
      </c>
      <c r="M7">
        <v>1237</v>
      </c>
      <c r="N7">
        <v>107</v>
      </c>
      <c r="O7">
        <v>519</v>
      </c>
      <c r="P7">
        <v>49744.23552468573</v>
      </c>
      <c r="Q7">
        <v>61966.88141891469</v>
      </c>
      <c r="R7">
        <v>2042.212128116383</v>
      </c>
      <c r="S7" t="s">
        <v>203</v>
      </c>
      <c r="T7" t="s">
        <v>204</v>
      </c>
    </row>
    <row r="8" spans="1:20">
      <c r="A8" t="s">
        <v>20</v>
      </c>
      <c r="B8" t="s">
        <v>22</v>
      </c>
      <c r="C8" t="s">
        <v>28</v>
      </c>
      <c r="D8">
        <v>54127.21323665169</v>
      </c>
      <c r="E8">
        <v>54127.21323665184</v>
      </c>
      <c r="F8" t="s">
        <v>111</v>
      </c>
      <c r="G8" t="s">
        <v>112</v>
      </c>
      <c r="H8" t="s">
        <v>113</v>
      </c>
      <c r="I8">
        <v>22.22870465703993</v>
      </c>
      <c r="J8" t="s">
        <v>120</v>
      </c>
      <c r="K8">
        <v>1</v>
      </c>
      <c r="L8">
        <v>602</v>
      </c>
      <c r="M8">
        <v>1237</v>
      </c>
      <c r="N8">
        <v>107</v>
      </c>
      <c r="O8">
        <v>519</v>
      </c>
      <c r="P8">
        <v>48018.35769674317</v>
      </c>
      <c r="Q8">
        <v>60050.13606620469</v>
      </c>
      <c r="R8">
        <v>2105.053466034658</v>
      </c>
      <c r="S8" t="s">
        <v>203</v>
      </c>
      <c r="T8" t="s">
        <v>204</v>
      </c>
    </row>
    <row r="9" spans="1:20">
      <c r="A9" t="s">
        <v>20</v>
      </c>
      <c r="B9" t="s">
        <v>22</v>
      </c>
      <c r="C9" t="s">
        <v>29</v>
      </c>
      <c r="D9">
        <v>56178.60444961589</v>
      </c>
      <c r="E9">
        <v>56178.60444961593</v>
      </c>
      <c r="F9" t="s">
        <v>111</v>
      </c>
      <c r="G9" t="s">
        <v>112</v>
      </c>
      <c r="H9" t="s">
        <v>113</v>
      </c>
      <c r="I9">
        <v>24.1661461877375</v>
      </c>
      <c r="J9" t="s">
        <v>121</v>
      </c>
      <c r="K9">
        <v>1</v>
      </c>
      <c r="L9">
        <v>602</v>
      </c>
      <c r="M9">
        <v>1237</v>
      </c>
      <c r="N9">
        <v>107</v>
      </c>
      <c r="O9">
        <v>519</v>
      </c>
      <c r="P9">
        <v>49656.04001644079</v>
      </c>
      <c r="Q9">
        <v>63232.24369396577</v>
      </c>
      <c r="R9">
        <v>2169.22945722094</v>
      </c>
      <c r="S9" t="s">
        <v>203</v>
      </c>
      <c r="T9" t="s">
        <v>204</v>
      </c>
    </row>
    <row r="10" spans="1:20">
      <c r="A10" t="s">
        <v>20</v>
      </c>
      <c r="B10" t="s">
        <v>22</v>
      </c>
      <c r="C10" t="s">
        <v>30</v>
      </c>
      <c r="D10">
        <v>49915.51597269852</v>
      </c>
      <c r="E10">
        <v>49915.51597269854</v>
      </c>
      <c r="F10" t="s">
        <v>111</v>
      </c>
      <c r="G10" t="s">
        <v>112</v>
      </c>
      <c r="H10" t="s">
        <v>113</v>
      </c>
      <c r="I10">
        <v>20.50722499029368</v>
      </c>
      <c r="J10" t="s">
        <v>122</v>
      </c>
      <c r="K10">
        <v>1</v>
      </c>
      <c r="L10">
        <v>602</v>
      </c>
      <c r="M10">
        <v>1237</v>
      </c>
      <c r="N10">
        <v>107</v>
      </c>
      <c r="O10">
        <v>519</v>
      </c>
      <c r="P10">
        <v>44847.71955498792</v>
      </c>
      <c r="Q10">
        <v>55084.00672057518</v>
      </c>
      <c r="R10">
        <v>1799.491288543437</v>
      </c>
      <c r="S10" t="s">
        <v>203</v>
      </c>
      <c r="T10" t="s">
        <v>204</v>
      </c>
    </row>
    <row r="11" spans="1:20">
      <c r="A11" t="s">
        <v>20</v>
      </c>
      <c r="B11" t="s">
        <v>22</v>
      </c>
      <c r="C11" t="s">
        <v>31</v>
      </c>
      <c r="D11">
        <v>49990.80987756431</v>
      </c>
      <c r="E11">
        <v>49990.80987756437</v>
      </c>
      <c r="F11" t="s">
        <v>111</v>
      </c>
      <c r="G11" t="s">
        <v>112</v>
      </c>
      <c r="H11" t="s">
        <v>113</v>
      </c>
      <c r="I11">
        <v>21.49581040282981</v>
      </c>
      <c r="J11" t="s">
        <v>123</v>
      </c>
      <c r="K11">
        <v>1</v>
      </c>
      <c r="L11">
        <v>602</v>
      </c>
      <c r="M11">
        <v>1237</v>
      </c>
      <c r="N11">
        <v>107</v>
      </c>
      <c r="O11">
        <v>519</v>
      </c>
      <c r="P11">
        <v>44668.73487432481</v>
      </c>
      <c r="Q11">
        <v>55414.66458444516</v>
      </c>
      <c r="R11">
        <v>1868.75429169533</v>
      </c>
      <c r="S11" t="s">
        <v>203</v>
      </c>
      <c r="T11" t="s">
        <v>204</v>
      </c>
    </row>
    <row r="12" spans="1:20">
      <c r="A12" t="s">
        <v>20</v>
      </c>
      <c r="B12" t="s">
        <v>22</v>
      </c>
      <c r="C12" t="s">
        <v>32</v>
      </c>
      <c r="D12">
        <v>48822.08817746182</v>
      </c>
      <c r="E12">
        <v>48822.08817746191</v>
      </c>
      <c r="F12" t="s">
        <v>111</v>
      </c>
      <c r="G12" t="s">
        <v>112</v>
      </c>
      <c r="H12" t="s">
        <v>113</v>
      </c>
      <c r="I12">
        <v>22.32708261329059</v>
      </c>
      <c r="J12" t="s">
        <v>124</v>
      </c>
      <c r="K12">
        <v>1</v>
      </c>
      <c r="L12">
        <v>602</v>
      </c>
      <c r="M12">
        <v>1237</v>
      </c>
      <c r="N12">
        <v>107</v>
      </c>
      <c r="O12">
        <v>519</v>
      </c>
      <c r="P12">
        <v>43867.69425486599</v>
      </c>
      <c r="Q12">
        <v>54768.24221578147</v>
      </c>
      <c r="R12">
        <v>1817.773060166011</v>
      </c>
      <c r="S12" t="s">
        <v>203</v>
      </c>
      <c r="T12" t="s">
        <v>204</v>
      </c>
    </row>
    <row r="13" spans="1:20">
      <c r="A13" t="s">
        <v>20</v>
      </c>
      <c r="B13" t="s">
        <v>22</v>
      </c>
      <c r="C13" t="s">
        <v>33</v>
      </c>
      <c r="D13">
        <v>47736.04332651943</v>
      </c>
      <c r="E13">
        <v>47736.04332651945</v>
      </c>
      <c r="F13" t="s">
        <v>111</v>
      </c>
      <c r="G13" t="s">
        <v>112</v>
      </c>
      <c r="H13" t="s">
        <v>113</v>
      </c>
      <c r="I13">
        <v>26.44175821763626</v>
      </c>
      <c r="J13" t="s">
        <v>125</v>
      </c>
      <c r="K13">
        <v>1</v>
      </c>
      <c r="L13">
        <v>602</v>
      </c>
      <c r="M13">
        <v>1237</v>
      </c>
      <c r="N13">
        <v>107</v>
      </c>
      <c r="O13">
        <v>519</v>
      </c>
      <c r="P13">
        <v>42003.90007917365</v>
      </c>
      <c r="Q13">
        <v>54626.149238238</v>
      </c>
      <c r="R13">
        <v>1682.554797840146</v>
      </c>
      <c r="S13" t="s">
        <v>203</v>
      </c>
      <c r="T13" t="s">
        <v>204</v>
      </c>
    </row>
    <row r="14" spans="1:20">
      <c r="A14" t="s">
        <v>20</v>
      </c>
      <c r="B14" t="s">
        <v>22</v>
      </c>
      <c r="C14" t="s">
        <v>34</v>
      </c>
      <c r="D14">
        <v>48771.66643830707</v>
      </c>
      <c r="E14">
        <v>48771.66643830712</v>
      </c>
      <c r="F14" t="s">
        <v>111</v>
      </c>
      <c r="G14" t="s">
        <v>112</v>
      </c>
      <c r="H14" t="s">
        <v>113</v>
      </c>
      <c r="I14">
        <v>26.12139406988675</v>
      </c>
      <c r="J14" t="s">
        <v>126</v>
      </c>
      <c r="K14">
        <v>1</v>
      </c>
      <c r="L14">
        <v>602</v>
      </c>
      <c r="M14">
        <v>1237</v>
      </c>
      <c r="N14">
        <v>107</v>
      </c>
      <c r="O14">
        <v>519</v>
      </c>
      <c r="P14">
        <v>41975.80325544401</v>
      </c>
      <c r="Q14">
        <v>54715.6424402449</v>
      </c>
      <c r="R14">
        <v>1861.45838667422</v>
      </c>
      <c r="S14" t="s">
        <v>203</v>
      </c>
      <c r="T14" t="s">
        <v>204</v>
      </c>
    </row>
    <row r="15" spans="1:20">
      <c r="A15" t="s">
        <v>20</v>
      </c>
      <c r="B15" t="s">
        <v>22</v>
      </c>
      <c r="C15" t="s">
        <v>35</v>
      </c>
      <c r="D15">
        <v>54399.92585088185</v>
      </c>
      <c r="E15">
        <v>54399.92585088189</v>
      </c>
      <c r="F15" t="s">
        <v>111</v>
      </c>
      <c r="G15" t="s">
        <v>112</v>
      </c>
      <c r="H15" t="s">
        <v>113</v>
      </c>
      <c r="I15">
        <v>24.44937903363627</v>
      </c>
      <c r="J15" t="s">
        <v>127</v>
      </c>
      <c r="K15">
        <v>1</v>
      </c>
      <c r="L15">
        <v>602</v>
      </c>
      <c r="M15">
        <v>1237</v>
      </c>
      <c r="N15">
        <v>107</v>
      </c>
      <c r="O15">
        <v>519</v>
      </c>
      <c r="P15">
        <v>48684.06201097803</v>
      </c>
      <c r="Q15">
        <v>61984.50607627721</v>
      </c>
      <c r="R15">
        <v>2072.899562572633</v>
      </c>
      <c r="S15" t="s">
        <v>203</v>
      </c>
      <c r="T15" t="s">
        <v>204</v>
      </c>
    </row>
    <row r="16" spans="1:20">
      <c r="A16" t="s">
        <v>20</v>
      </c>
      <c r="B16" t="s">
        <v>22</v>
      </c>
      <c r="C16" t="s">
        <v>36</v>
      </c>
      <c r="D16">
        <v>54472.74437546573</v>
      </c>
      <c r="E16">
        <v>54472.74437546573</v>
      </c>
      <c r="F16" t="s">
        <v>111</v>
      </c>
      <c r="G16" t="s">
        <v>112</v>
      </c>
      <c r="H16" t="s">
        <v>113</v>
      </c>
      <c r="I16">
        <v>23.63388644245232</v>
      </c>
      <c r="J16" t="s">
        <v>128</v>
      </c>
      <c r="K16">
        <v>1</v>
      </c>
      <c r="L16">
        <v>602</v>
      </c>
      <c r="M16">
        <v>1237</v>
      </c>
      <c r="N16">
        <v>107</v>
      </c>
      <c r="O16">
        <v>519</v>
      </c>
      <c r="P16">
        <v>48702.29218267519</v>
      </c>
      <c r="Q16">
        <v>61576.31873046009</v>
      </c>
      <c r="R16">
        <v>2080.84268096906</v>
      </c>
      <c r="S16" t="s">
        <v>203</v>
      </c>
      <c r="T16" t="s">
        <v>204</v>
      </c>
    </row>
    <row r="17" spans="1:20">
      <c r="A17" t="s">
        <v>20</v>
      </c>
      <c r="B17" t="s">
        <v>22</v>
      </c>
      <c r="C17" t="s">
        <v>37</v>
      </c>
      <c r="D17">
        <v>56584.18758635579</v>
      </c>
      <c r="E17">
        <v>56584.18758635589</v>
      </c>
      <c r="F17" t="s">
        <v>111</v>
      </c>
      <c r="G17" t="s">
        <v>112</v>
      </c>
      <c r="H17" t="s">
        <v>113</v>
      </c>
      <c r="I17">
        <v>20.62672815483909</v>
      </c>
      <c r="J17" t="s">
        <v>129</v>
      </c>
      <c r="K17">
        <v>1</v>
      </c>
      <c r="L17">
        <v>602</v>
      </c>
      <c r="M17">
        <v>1237</v>
      </c>
      <c r="N17">
        <v>107</v>
      </c>
      <c r="O17">
        <v>519</v>
      </c>
      <c r="P17">
        <v>50634.12521734405</v>
      </c>
      <c r="Q17">
        <v>62305.59176940586</v>
      </c>
      <c r="R17">
        <v>1915.706390963609</v>
      </c>
      <c r="S17" t="s">
        <v>203</v>
      </c>
      <c r="T17" t="s">
        <v>204</v>
      </c>
    </row>
    <row r="18" spans="1:20">
      <c r="A18" t="s">
        <v>20</v>
      </c>
      <c r="B18" t="s">
        <v>22</v>
      </c>
      <c r="C18" t="s">
        <v>38</v>
      </c>
      <c r="D18">
        <v>48778.64559009307</v>
      </c>
      <c r="E18">
        <v>48778.64559009312</v>
      </c>
      <c r="F18" t="s">
        <v>111</v>
      </c>
      <c r="G18" t="s">
        <v>112</v>
      </c>
      <c r="H18" t="s">
        <v>113</v>
      </c>
      <c r="I18">
        <v>21.71314385665518</v>
      </c>
      <c r="J18" t="s">
        <v>130</v>
      </c>
      <c r="K18">
        <v>1</v>
      </c>
      <c r="L18">
        <v>602</v>
      </c>
      <c r="M18">
        <v>1237</v>
      </c>
      <c r="N18">
        <v>107</v>
      </c>
      <c r="O18">
        <v>519</v>
      </c>
      <c r="P18">
        <v>43471.46468686146</v>
      </c>
      <c r="Q18">
        <v>54062.84217516636</v>
      </c>
      <c r="R18">
        <v>1786.213991280389</v>
      </c>
      <c r="S18" t="s">
        <v>203</v>
      </c>
      <c r="T18" t="s">
        <v>204</v>
      </c>
    </row>
    <row r="19" spans="1:20">
      <c r="A19" t="s">
        <v>20</v>
      </c>
      <c r="B19" t="s">
        <v>22</v>
      </c>
      <c r="C19" t="s">
        <v>39</v>
      </c>
      <c r="D19">
        <v>56505.87605903795</v>
      </c>
      <c r="E19">
        <v>56505.876059038</v>
      </c>
      <c r="F19" t="s">
        <v>111</v>
      </c>
      <c r="G19" t="s">
        <v>112</v>
      </c>
      <c r="H19" t="s">
        <v>113</v>
      </c>
      <c r="I19">
        <v>18.87861738694912</v>
      </c>
      <c r="J19" t="s">
        <v>131</v>
      </c>
      <c r="K19">
        <v>1</v>
      </c>
      <c r="L19">
        <v>602</v>
      </c>
      <c r="M19">
        <v>1237</v>
      </c>
      <c r="N19">
        <v>107</v>
      </c>
      <c r="O19">
        <v>519</v>
      </c>
      <c r="P19">
        <v>51425.12344385764</v>
      </c>
      <c r="Q19">
        <v>62092.6515861871</v>
      </c>
      <c r="R19">
        <v>2024.03996089954</v>
      </c>
      <c r="S19" t="s">
        <v>203</v>
      </c>
      <c r="T19" t="s">
        <v>204</v>
      </c>
    </row>
    <row r="20" spans="1:20">
      <c r="A20" t="s">
        <v>20</v>
      </c>
      <c r="B20" t="s">
        <v>22</v>
      </c>
      <c r="C20" t="s">
        <v>40</v>
      </c>
      <c r="D20">
        <v>55684.3514827301</v>
      </c>
      <c r="E20">
        <v>55684.35148273013</v>
      </c>
      <c r="F20" t="s">
        <v>111</v>
      </c>
      <c r="G20" t="s">
        <v>112</v>
      </c>
      <c r="H20" t="s">
        <v>113</v>
      </c>
      <c r="I20">
        <v>23.38563686822933</v>
      </c>
      <c r="J20" t="s">
        <v>132</v>
      </c>
      <c r="K20">
        <v>1</v>
      </c>
      <c r="L20">
        <v>602</v>
      </c>
      <c r="M20">
        <v>1237</v>
      </c>
      <c r="N20">
        <v>107</v>
      </c>
      <c r="O20">
        <v>519</v>
      </c>
      <c r="P20">
        <v>50077.93086463511</v>
      </c>
      <c r="Q20">
        <v>63100.07109481484</v>
      </c>
      <c r="R20">
        <v>2020.132296303046</v>
      </c>
      <c r="S20" t="s">
        <v>203</v>
      </c>
      <c r="T20" t="s">
        <v>204</v>
      </c>
    </row>
    <row r="21" spans="1:20">
      <c r="A21" t="s">
        <v>20</v>
      </c>
      <c r="B21" t="s">
        <v>22</v>
      </c>
      <c r="C21" t="s">
        <v>41</v>
      </c>
      <c r="D21">
        <v>47522.98596643798</v>
      </c>
      <c r="E21">
        <v>47522.98596643804</v>
      </c>
      <c r="F21" t="s">
        <v>111</v>
      </c>
      <c r="G21" t="s">
        <v>112</v>
      </c>
      <c r="H21" t="s">
        <v>113</v>
      </c>
      <c r="I21">
        <v>19.20120842403016</v>
      </c>
      <c r="J21" t="s">
        <v>133</v>
      </c>
      <c r="K21">
        <v>1</v>
      </c>
      <c r="L21">
        <v>602</v>
      </c>
      <c r="M21">
        <v>1237</v>
      </c>
      <c r="N21">
        <v>107</v>
      </c>
      <c r="O21">
        <v>519</v>
      </c>
      <c r="P21">
        <v>43515.90903207992</v>
      </c>
      <c r="Q21">
        <v>52640.89661681828</v>
      </c>
      <c r="R21">
        <v>1727.063829171919</v>
      </c>
      <c r="S21" t="s">
        <v>203</v>
      </c>
      <c r="T21" t="s">
        <v>204</v>
      </c>
    </row>
    <row r="22" spans="1:20">
      <c r="A22" t="s">
        <v>20</v>
      </c>
      <c r="B22" t="s">
        <v>22</v>
      </c>
      <c r="C22" t="s">
        <v>42</v>
      </c>
      <c r="D22">
        <v>50798.5163064596</v>
      </c>
      <c r="E22">
        <v>50798.51630645967</v>
      </c>
      <c r="F22" t="s">
        <v>111</v>
      </c>
      <c r="G22" t="s">
        <v>112</v>
      </c>
      <c r="H22" t="s">
        <v>113</v>
      </c>
      <c r="I22">
        <v>22.89146864290513</v>
      </c>
      <c r="J22" t="s">
        <v>134</v>
      </c>
      <c r="K22">
        <v>1</v>
      </c>
      <c r="L22">
        <v>602</v>
      </c>
      <c r="M22">
        <v>1237</v>
      </c>
      <c r="N22">
        <v>107</v>
      </c>
      <c r="O22">
        <v>519</v>
      </c>
      <c r="P22">
        <v>44796.12186753679</v>
      </c>
      <c r="Q22">
        <v>56424.64829889104</v>
      </c>
      <c r="R22">
        <v>1865.143235002976</v>
      </c>
      <c r="S22" t="s">
        <v>203</v>
      </c>
      <c r="T22" t="s">
        <v>204</v>
      </c>
    </row>
    <row r="23" spans="1:20">
      <c r="A23" t="s">
        <v>20</v>
      </c>
      <c r="B23" t="s">
        <v>22</v>
      </c>
      <c r="C23" t="s">
        <v>43</v>
      </c>
      <c r="D23">
        <v>49202.48775293384</v>
      </c>
      <c r="E23">
        <v>49202.4877529339</v>
      </c>
      <c r="F23" t="s">
        <v>111</v>
      </c>
      <c r="G23" t="s">
        <v>112</v>
      </c>
      <c r="H23" t="s">
        <v>113</v>
      </c>
      <c r="I23">
        <v>22.37996509432276</v>
      </c>
      <c r="J23" t="s">
        <v>135</v>
      </c>
      <c r="K23">
        <v>1</v>
      </c>
      <c r="L23">
        <v>602</v>
      </c>
      <c r="M23">
        <v>1237</v>
      </c>
      <c r="N23">
        <v>107</v>
      </c>
      <c r="O23">
        <v>519</v>
      </c>
      <c r="P23">
        <v>44450.88338974893</v>
      </c>
      <c r="Q23">
        <v>55462.38297439394</v>
      </c>
      <c r="R23">
        <v>1850.121836185727</v>
      </c>
      <c r="S23" t="s">
        <v>203</v>
      </c>
      <c r="T23" t="s">
        <v>204</v>
      </c>
    </row>
    <row r="24" spans="1:20">
      <c r="A24" t="s">
        <v>20</v>
      </c>
      <c r="B24" t="s">
        <v>22</v>
      </c>
      <c r="C24" t="s">
        <v>44</v>
      </c>
      <c r="D24">
        <v>47298.61985582428</v>
      </c>
      <c r="E24">
        <v>47298.61985582433</v>
      </c>
      <c r="F24" t="s">
        <v>111</v>
      </c>
      <c r="G24" t="s">
        <v>112</v>
      </c>
      <c r="H24" t="s">
        <v>113</v>
      </c>
      <c r="I24">
        <v>18.51432617906054</v>
      </c>
      <c r="J24" t="s">
        <v>136</v>
      </c>
      <c r="K24">
        <v>1</v>
      </c>
      <c r="L24">
        <v>602</v>
      </c>
      <c r="M24">
        <v>1237</v>
      </c>
      <c r="N24">
        <v>107</v>
      </c>
      <c r="O24">
        <v>519</v>
      </c>
      <c r="P24">
        <v>42867.55441745769</v>
      </c>
      <c r="Q24">
        <v>51624.5751757589</v>
      </c>
      <c r="R24">
        <v>1654.646313628275</v>
      </c>
      <c r="S24" t="s">
        <v>203</v>
      </c>
      <c r="T24" t="s">
        <v>204</v>
      </c>
    </row>
    <row r="25" spans="1:20">
      <c r="A25" t="s">
        <v>20</v>
      </c>
      <c r="B25" t="s">
        <v>22</v>
      </c>
      <c r="C25" t="s">
        <v>45</v>
      </c>
      <c r="D25">
        <v>49466.34503629049</v>
      </c>
      <c r="E25">
        <v>49466.34503629054</v>
      </c>
      <c r="F25" t="s">
        <v>111</v>
      </c>
      <c r="G25" t="s">
        <v>112</v>
      </c>
      <c r="H25" t="s">
        <v>113</v>
      </c>
      <c r="I25">
        <v>22.63872731236759</v>
      </c>
      <c r="J25" t="s">
        <v>137</v>
      </c>
      <c r="K25">
        <v>1</v>
      </c>
      <c r="L25">
        <v>602</v>
      </c>
      <c r="M25">
        <v>1237</v>
      </c>
      <c r="N25">
        <v>107</v>
      </c>
      <c r="O25">
        <v>519</v>
      </c>
      <c r="P25">
        <v>44367.46428870998</v>
      </c>
      <c r="Q25">
        <v>55566.01525287066</v>
      </c>
      <c r="R25">
        <v>1822.977910175093</v>
      </c>
      <c r="S25" t="s">
        <v>203</v>
      </c>
      <c r="T25" t="s">
        <v>204</v>
      </c>
    </row>
    <row r="26" spans="1:20">
      <c r="A26" t="s">
        <v>20</v>
      </c>
      <c r="B26" t="s">
        <v>22</v>
      </c>
      <c r="C26" t="s">
        <v>46</v>
      </c>
      <c r="D26">
        <v>55537.01363106633</v>
      </c>
      <c r="E26">
        <v>55537.01363106634</v>
      </c>
      <c r="F26" t="s">
        <v>111</v>
      </c>
      <c r="G26" t="s">
        <v>112</v>
      </c>
      <c r="H26" t="s">
        <v>113</v>
      </c>
      <c r="I26">
        <v>22.2050782217561</v>
      </c>
      <c r="J26" t="s">
        <v>138</v>
      </c>
      <c r="K26">
        <v>1</v>
      </c>
      <c r="L26">
        <v>602</v>
      </c>
      <c r="M26">
        <v>1237</v>
      </c>
      <c r="N26">
        <v>107</v>
      </c>
      <c r="O26">
        <v>519</v>
      </c>
      <c r="P26">
        <v>49848.01218865774</v>
      </c>
      <c r="Q26">
        <v>62180.04950746337</v>
      </c>
      <c r="R26">
        <v>2162.596567213378</v>
      </c>
      <c r="S26" t="s">
        <v>203</v>
      </c>
      <c r="T26" t="s">
        <v>204</v>
      </c>
    </row>
    <row r="27" spans="1:20">
      <c r="A27" t="s">
        <v>20</v>
      </c>
      <c r="B27" t="s">
        <v>22</v>
      </c>
      <c r="C27" t="s">
        <v>47</v>
      </c>
      <c r="D27">
        <v>53257.82265242984</v>
      </c>
      <c r="E27">
        <v>53257.82265242982</v>
      </c>
      <c r="F27" t="s">
        <v>111</v>
      </c>
      <c r="G27" t="s">
        <v>112</v>
      </c>
      <c r="H27" t="s">
        <v>113</v>
      </c>
      <c r="I27">
        <v>24.47706633112422</v>
      </c>
      <c r="J27" t="s">
        <v>139</v>
      </c>
      <c r="K27">
        <v>1</v>
      </c>
      <c r="L27">
        <v>602</v>
      </c>
      <c r="M27">
        <v>1237</v>
      </c>
      <c r="N27">
        <v>107</v>
      </c>
      <c r="O27">
        <v>519</v>
      </c>
      <c r="P27">
        <v>46034.50667501311</v>
      </c>
      <c r="Q27">
        <v>59070.45925216087</v>
      </c>
      <c r="R27">
        <v>2008.515129304219</v>
      </c>
      <c r="S27" t="s">
        <v>203</v>
      </c>
      <c r="T27" t="s">
        <v>204</v>
      </c>
    </row>
    <row r="28" spans="1:20">
      <c r="A28" t="s">
        <v>20</v>
      </c>
      <c r="B28" t="s">
        <v>22</v>
      </c>
      <c r="C28" t="s">
        <v>48</v>
      </c>
      <c r="D28">
        <v>54992.01089919082</v>
      </c>
      <c r="E28">
        <v>54992.01089919086</v>
      </c>
      <c r="F28" t="s">
        <v>111</v>
      </c>
      <c r="G28" t="s">
        <v>112</v>
      </c>
      <c r="H28" t="s">
        <v>113</v>
      </c>
      <c r="I28">
        <v>22.26368309357188</v>
      </c>
      <c r="J28" t="s">
        <v>140</v>
      </c>
      <c r="K28">
        <v>1</v>
      </c>
      <c r="L28">
        <v>602</v>
      </c>
      <c r="M28">
        <v>1237</v>
      </c>
      <c r="N28">
        <v>107</v>
      </c>
      <c r="O28">
        <v>519</v>
      </c>
      <c r="P28">
        <v>48657.58786075451</v>
      </c>
      <c r="Q28">
        <v>60900.83489413286</v>
      </c>
      <c r="R28">
        <v>2145.351681321256</v>
      </c>
      <c r="S28" t="s">
        <v>203</v>
      </c>
      <c r="T28" t="s">
        <v>204</v>
      </c>
    </row>
    <row r="29" spans="1:20">
      <c r="A29" t="s">
        <v>20</v>
      </c>
      <c r="B29" t="s">
        <v>22</v>
      </c>
      <c r="C29" t="s">
        <v>49</v>
      </c>
      <c r="D29">
        <v>53110.04248074842</v>
      </c>
      <c r="E29">
        <v>53110.04248074847</v>
      </c>
      <c r="F29" t="s">
        <v>111</v>
      </c>
      <c r="G29" t="s">
        <v>112</v>
      </c>
      <c r="H29" t="s">
        <v>113</v>
      </c>
      <c r="I29">
        <v>24.0743706249964</v>
      </c>
      <c r="J29" t="s">
        <v>141</v>
      </c>
      <c r="K29">
        <v>1</v>
      </c>
      <c r="L29">
        <v>602</v>
      </c>
      <c r="M29">
        <v>1237</v>
      </c>
      <c r="N29">
        <v>107</v>
      </c>
      <c r="O29">
        <v>519</v>
      </c>
      <c r="P29">
        <v>46952.14041154193</v>
      </c>
      <c r="Q29">
        <v>59738.04887745034</v>
      </c>
      <c r="R29">
        <v>2065.329037419965</v>
      </c>
      <c r="S29" t="s">
        <v>203</v>
      </c>
      <c r="T29" t="s">
        <v>204</v>
      </c>
    </row>
    <row r="30" spans="1:20">
      <c r="A30" t="s">
        <v>20</v>
      </c>
      <c r="B30" t="s">
        <v>22</v>
      </c>
      <c r="C30" t="s">
        <v>50</v>
      </c>
      <c r="D30">
        <v>51127.30396486125</v>
      </c>
      <c r="E30">
        <v>51127.30396486128</v>
      </c>
      <c r="F30" t="s">
        <v>111</v>
      </c>
      <c r="G30" t="s">
        <v>112</v>
      </c>
      <c r="H30" t="s">
        <v>113</v>
      </c>
      <c r="I30">
        <v>22.36922871826119</v>
      </c>
      <c r="J30" t="s">
        <v>142</v>
      </c>
      <c r="K30">
        <v>1</v>
      </c>
      <c r="L30">
        <v>602</v>
      </c>
      <c r="M30">
        <v>1237</v>
      </c>
      <c r="N30">
        <v>107</v>
      </c>
      <c r="O30">
        <v>519</v>
      </c>
      <c r="P30">
        <v>45517.17789524888</v>
      </c>
      <c r="Q30">
        <v>56953.96145662932</v>
      </c>
      <c r="R30">
        <v>1941.361175752694</v>
      </c>
      <c r="S30" t="s">
        <v>203</v>
      </c>
      <c r="T30" t="s">
        <v>204</v>
      </c>
    </row>
    <row r="31" spans="1:20">
      <c r="A31" t="s">
        <v>20</v>
      </c>
      <c r="B31" t="s">
        <v>22</v>
      </c>
      <c r="C31" t="s">
        <v>51</v>
      </c>
      <c r="D31">
        <v>49212.11654286315</v>
      </c>
      <c r="E31">
        <v>49212.1165428632</v>
      </c>
      <c r="F31" t="s">
        <v>111</v>
      </c>
      <c r="G31" t="s">
        <v>112</v>
      </c>
      <c r="H31" t="s">
        <v>113</v>
      </c>
      <c r="I31">
        <v>21.24357547440126</v>
      </c>
      <c r="J31" t="s">
        <v>143</v>
      </c>
      <c r="K31">
        <v>1</v>
      </c>
      <c r="L31">
        <v>602</v>
      </c>
      <c r="M31">
        <v>1237</v>
      </c>
      <c r="N31">
        <v>107</v>
      </c>
      <c r="O31">
        <v>519</v>
      </c>
      <c r="P31">
        <v>44412.22365275468</v>
      </c>
      <c r="Q31">
        <v>54866.63677308812</v>
      </c>
      <c r="R31">
        <v>1902.403769327397</v>
      </c>
      <c r="S31" t="s">
        <v>203</v>
      </c>
      <c r="T31" t="s">
        <v>204</v>
      </c>
    </row>
    <row r="32" spans="1:20">
      <c r="A32" t="s">
        <v>20</v>
      </c>
      <c r="B32" t="s">
        <v>22</v>
      </c>
      <c r="C32" t="s">
        <v>52</v>
      </c>
      <c r="D32">
        <v>56083.87665567728</v>
      </c>
      <c r="E32">
        <v>56083.87665567736</v>
      </c>
      <c r="F32" t="s">
        <v>111</v>
      </c>
      <c r="G32" t="s">
        <v>112</v>
      </c>
      <c r="H32" t="s">
        <v>113</v>
      </c>
      <c r="I32">
        <v>21.34617475422269</v>
      </c>
      <c r="J32" t="s">
        <v>144</v>
      </c>
      <c r="K32">
        <v>1</v>
      </c>
      <c r="L32">
        <v>602</v>
      </c>
      <c r="M32">
        <v>1237</v>
      </c>
      <c r="N32">
        <v>107</v>
      </c>
      <c r="O32">
        <v>519</v>
      </c>
      <c r="P32">
        <v>50441.37772668171</v>
      </c>
      <c r="Q32">
        <v>62413.14004654529</v>
      </c>
      <c r="R32">
        <v>1978.039498742016</v>
      </c>
      <c r="S32" t="s">
        <v>203</v>
      </c>
      <c r="T32" t="s">
        <v>204</v>
      </c>
    </row>
    <row r="33" spans="1:20">
      <c r="A33" t="s">
        <v>20</v>
      </c>
      <c r="B33" t="s">
        <v>22</v>
      </c>
      <c r="C33" t="s">
        <v>53</v>
      </c>
      <c r="D33">
        <v>54544.73188641896</v>
      </c>
      <c r="E33">
        <v>54544.731886419</v>
      </c>
      <c r="F33" t="s">
        <v>111</v>
      </c>
      <c r="G33" t="s">
        <v>112</v>
      </c>
      <c r="H33" t="s">
        <v>113</v>
      </c>
      <c r="I33">
        <v>23.58019002839956</v>
      </c>
      <c r="J33" t="s">
        <v>145</v>
      </c>
      <c r="K33">
        <v>1</v>
      </c>
      <c r="L33">
        <v>602</v>
      </c>
      <c r="M33">
        <v>1237</v>
      </c>
      <c r="N33">
        <v>107</v>
      </c>
      <c r="O33">
        <v>519</v>
      </c>
      <c r="P33">
        <v>48709.60381734549</v>
      </c>
      <c r="Q33">
        <v>61571.35524664413</v>
      </c>
      <c r="R33">
        <v>2000.734985303242</v>
      </c>
      <c r="S33" t="s">
        <v>203</v>
      </c>
      <c r="T33" t="s">
        <v>204</v>
      </c>
    </row>
    <row r="34" spans="1:20">
      <c r="A34" t="s">
        <v>20</v>
      </c>
      <c r="B34" t="s">
        <v>22</v>
      </c>
      <c r="C34" t="s">
        <v>54</v>
      </c>
      <c r="D34">
        <v>51710.78420233353</v>
      </c>
      <c r="E34">
        <v>51710.78420233361</v>
      </c>
      <c r="F34" t="s">
        <v>111</v>
      </c>
      <c r="G34" t="s">
        <v>112</v>
      </c>
      <c r="H34" t="s">
        <v>113</v>
      </c>
      <c r="I34">
        <v>21.09147163051352</v>
      </c>
      <c r="J34" t="s">
        <v>146</v>
      </c>
      <c r="K34">
        <v>1</v>
      </c>
      <c r="L34">
        <v>602</v>
      </c>
      <c r="M34">
        <v>1237</v>
      </c>
      <c r="N34">
        <v>107</v>
      </c>
      <c r="O34">
        <v>519</v>
      </c>
      <c r="P34">
        <v>46956.16023234256</v>
      </c>
      <c r="Q34">
        <v>57862.7256122938</v>
      </c>
      <c r="R34">
        <v>1785.183291866959</v>
      </c>
      <c r="S34" t="s">
        <v>203</v>
      </c>
      <c r="T34" t="s">
        <v>204</v>
      </c>
    </row>
    <row r="35" spans="1:20">
      <c r="A35" t="s">
        <v>20</v>
      </c>
      <c r="B35" t="s">
        <v>22</v>
      </c>
      <c r="C35" t="s">
        <v>55</v>
      </c>
      <c r="D35">
        <v>55162.55863443532</v>
      </c>
      <c r="E35">
        <v>55162.55863443539</v>
      </c>
      <c r="F35" t="s">
        <v>111</v>
      </c>
      <c r="G35" t="s">
        <v>112</v>
      </c>
      <c r="H35" t="s">
        <v>113</v>
      </c>
      <c r="I35">
        <v>21.73258809272856</v>
      </c>
      <c r="J35" t="s">
        <v>147</v>
      </c>
      <c r="K35">
        <v>1</v>
      </c>
      <c r="L35">
        <v>602</v>
      </c>
      <c r="M35">
        <v>1237</v>
      </c>
      <c r="N35">
        <v>107</v>
      </c>
      <c r="O35">
        <v>519</v>
      </c>
      <c r="P35">
        <v>49362.87710697436</v>
      </c>
      <c r="Q35">
        <v>61351.12875640606</v>
      </c>
      <c r="R35">
        <v>2004.896921455261</v>
      </c>
      <c r="S35" t="s">
        <v>203</v>
      </c>
      <c r="T35" t="s">
        <v>204</v>
      </c>
    </row>
    <row r="36" spans="1:20">
      <c r="A36" t="s">
        <v>20</v>
      </c>
      <c r="B36" t="s">
        <v>22</v>
      </c>
      <c r="C36" t="s">
        <v>56</v>
      </c>
      <c r="D36">
        <v>50220.11109809774</v>
      </c>
      <c r="E36">
        <v>50220.11109809778</v>
      </c>
      <c r="F36" t="s">
        <v>111</v>
      </c>
      <c r="G36" t="s">
        <v>112</v>
      </c>
      <c r="H36" t="s">
        <v>113</v>
      </c>
      <c r="I36">
        <v>23.92491594560392</v>
      </c>
      <c r="J36" t="s">
        <v>148</v>
      </c>
      <c r="K36">
        <v>1</v>
      </c>
      <c r="L36">
        <v>602</v>
      </c>
      <c r="M36">
        <v>1237</v>
      </c>
      <c r="N36">
        <v>107</v>
      </c>
      <c r="O36">
        <v>519</v>
      </c>
      <c r="P36">
        <v>45055.94188597477</v>
      </c>
      <c r="Q36">
        <v>57071.06125398356</v>
      </c>
      <c r="R36">
        <v>1877.75953208144</v>
      </c>
      <c r="S36" t="s">
        <v>203</v>
      </c>
      <c r="T36" t="s">
        <v>204</v>
      </c>
    </row>
    <row r="37" spans="1:20">
      <c r="A37" t="s">
        <v>20</v>
      </c>
      <c r="B37" t="s">
        <v>22</v>
      </c>
      <c r="C37" t="s">
        <v>57</v>
      </c>
      <c r="D37">
        <v>48950.02259687032</v>
      </c>
      <c r="E37">
        <v>48950.02259687037</v>
      </c>
      <c r="F37" t="s">
        <v>111</v>
      </c>
      <c r="G37" t="s">
        <v>112</v>
      </c>
      <c r="H37" t="s">
        <v>113</v>
      </c>
      <c r="I37">
        <v>20.45286723467138</v>
      </c>
      <c r="J37" t="s">
        <v>149</v>
      </c>
      <c r="K37">
        <v>1</v>
      </c>
      <c r="L37">
        <v>602</v>
      </c>
      <c r="M37">
        <v>1237</v>
      </c>
      <c r="N37">
        <v>107</v>
      </c>
      <c r="O37">
        <v>519</v>
      </c>
      <c r="P37">
        <v>43706.64399518019</v>
      </c>
      <c r="Q37">
        <v>53718.32712825971</v>
      </c>
      <c r="R37">
        <v>1718.822430164909</v>
      </c>
      <c r="S37" t="s">
        <v>203</v>
      </c>
      <c r="T37" t="s">
        <v>204</v>
      </c>
    </row>
    <row r="38" spans="1:20">
      <c r="A38" t="s">
        <v>20</v>
      </c>
      <c r="B38" t="s">
        <v>22</v>
      </c>
      <c r="C38" t="s">
        <v>58</v>
      </c>
      <c r="D38">
        <v>55194.2212991244</v>
      </c>
      <c r="E38">
        <v>55194.2212991245</v>
      </c>
      <c r="F38" t="s">
        <v>111</v>
      </c>
      <c r="G38" t="s">
        <v>112</v>
      </c>
      <c r="H38" t="s">
        <v>113</v>
      </c>
      <c r="I38">
        <v>23.12357815031596</v>
      </c>
      <c r="J38" t="s">
        <v>150</v>
      </c>
      <c r="K38">
        <v>1</v>
      </c>
      <c r="L38">
        <v>602</v>
      </c>
      <c r="M38">
        <v>1237</v>
      </c>
      <c r="N38">
        <v>107</v>
      </c>
      <c r="O38">
        <v>519</v>
      </c>
      <c r="P38">
        <v>48550.89270510329</v>
      </c>
      <c r="Q38">
        <v>61313.77160166465</v>
      </c>
      <c r="R38">
        <v>2033.969266837273</v>
      </c>
      <c r="S38" t="s">
        <v>203</v>
      </c>
      <c r="T38" t="s">
        <v>204</v>
      </c>
    </row>
    <row r="39" spans="1:20">
      <c r="A39" t="s">
        <v>20</v>
      </c>
      <c r="B39" t="s">
        <v>22</v>
      </c>
      <c r="C39" t="s">
        <v>59</v>
      </c>
      <c r="D39">
        <v>50594.5820378465</v>
      </c>
      <c r="E39">
        <v>50594.58203784651</v>
      </c>
      <c r="F39" t="s">
        <v>111</v>
      </c>
      <c r="G39" t="s">
        <v>112</v>
      </c>
      <c r="H39" t="s">
        <v>113</v>
      </c>
      <c r="I39">
        <v>22.17465078090603</v>
      </c>
      <c r="J39" t="s">
        <v>151</v>
      </c>
      <c r="K39">
        <v>1</v>
      </c>
      <c r="L39">
        <v>602</v>
      </c>
      <c r="M39">
        <v>1237</v>
      </c>
      <c r="N39">
        <v>107</v>
      </c>
      <c r="O39">
        <v>519</v>
      </c>
      <c r="P39">
        <v>45330.24886512396</v>
      </c>
      <c r="Q39">
        <v>56549.42074607543</v>
      </c>
      <c r="R39">
        <v>1852.677518126033</v>
      </c>
      <c r="S39" t="s">
        <v>203</v>
      </c>
      <c r="T39" t="s">
        <v>204</v>
      </c>
    </row>
    <row r="40" spans="1:20">
      <c r="A40" t="s">
        <v>20</v>
      </c>
      <c r="B40" t="s">
        <v>22</v>
      </c>
      <c r="C40" t="s">
        <v>60</v>
      </c>
      <c r="D40">
        <v>54298.50136813798</v>
      </c>
      <c r="E40">
        <v>54298.50136813804</v>
      </c>
      <c r="F40" t="s">
        <v>111</v>
      </c>
      <c r="G40" t="s">
        <v>112</v>
      </c>
      <c r="H40" t="s">
        <v>113</v>
      </c>
      <c r="I40">
        <v>23.02307080828099</v>
      </c>
      <c r="J40" t="s">
        <v>152</v>
      </c>
      <c r="K40">
        <v>1</v>
      </c>
      <c r="L40">
        <v>602</v>
      </c>
      <c r="M40">
        <v>1237</v>
      </c>
      <c r="N40">
        <v>107</v>
      </c>
      <c r="O40">
        <v>519</v>
      </c>
      <c r="P40">
        <v>49391.55730586195</v>
      </c>
      <c r="Q40">
        <v>61892.73972368378</v>
      </c>
      <c r="R40">
        <v>1990.634324301286</v>
      </c>
      <c r="S40" t="s">
        <v>203</v>
      </c>
      <c r="T40" t="s">
        <v>204</v>
      </c>
    </row>
    <row r="41" spans="1:20">
      <c r="A41" t="s">
        <v>20</v>
      </c>
      <c r="B41" t="s">
        <v>22</v>
      </c>
      <c r="C41" t="s">
        <v>61</v>
      </c>
      <c r="D41">
        <v>54669.20448541897</v>
      </c>
      <c r="E41">
        <v>54669.20448541899</v>
      </c>
      <c r="F41" t="s">
        <v>111</v>
      </c>
      <c r="G41" t="s">
        <v>112</v>
      </c>
      <c r="H41" t="s">
        <v>113</v>
      </c>
      <c r="I41">
        <v>24.37430526661766</v>
      </c>
      <c r="J41" t="s">
        <v>153</v>
      </c>
      <c r="K41">
        <v>1</v>
      </c>
      <c r="L41">
        <v>602</v>
      </c>
      <c r="M41">
        <v>1237</v>
      </c>
      <c r="N41">
        <v>107</v>
      </c>
      <c r="O41">
        <v>519</v>
      </c>
      <c r="P41">
        <v>47728.78369470291</v>
      </c>
      <c r="Q41">
        <v>61054.02248281036</v>
      </c>
      <c r="R41">
        <v>2101.4219299909</v>
      </c>
      <c r="S41" t="s">
        <v>203</v>
      </c>
      <c r="T41" t="s">
        <v>204</v>
      </c>
    </row>
    <row r="42" spans="1:20">
      <c r="A42" t="s">
        <v>20</v>
      </c>
      <c r="B42" t="s">
        <v>22</v>
      </c>
      <c r="C42" t="s">
        <v>62</v>
      </c>
      <c r="D42">
        <v>49833.42047411921</v>
      </c>
      <c r="E42">
        <v>49833.42047411932</v>
      </c>
      <c r="F42" t="s">
        <v>111</v>
      </c>
      <c r="G42" t="s">
        <v>112</v>
      </c>
      <c r="H42" t="s">
        <v>113</v>
      </c>
      <c r="I42">
        <v>25.03097731955098</v>
      </c>
      <c r="J42" t="s">
        <v>154</v>
      </c>
      <c r="K42">
        <v>1</v>
      </c>
      <c r="L42">
        <v>602</v>
      </c>
      <c r="M42">
        <v>1237</v>
      </c>
      <c r="N42">
        <v>107</v>
      </c>
      <c r="O42">
        <v>519</v>
      </c>
      <c r="P42">
        <v>43313.47311736394</v>
      </c>
      <c r="Q42">
        <v>55787.2652937972</v>
      </c>
      <c r="R42">
        <v>2000.548740187494</v>
      </c>
      <c r="S42" t="s">
        <v>203</v>
      </c>
      <c r="T42" t="s">
        <v>204</v>
      </c>
    </row>
    <row r="43" spans="1:20">
      <c r="A43" t="s">
        <v>20</v>
      </c>
      <c r="B43" t="s">
        <v>22</v>
      </c>
      <c r="C43" t="s">
        <v>63</v>
      </c>
      <c r="D43">
        <v>48487.58505403723</v>
      </c>
      <c r="E43">
        <v>48487.58505403732</v>
      </c>
      <c r="F43" t="s">
        <v>111</v>
      </c>
      <c r="G43" t="s">
        <v>112</v>
      </c>
      <c r="H43" t="s">
        <v>113</v>
      </c>
      <c r="I43">
        <v>22.21136825828977</v>
      </c>
      <c r="J43" t="s">
        <v>155</v>
      </c>
      <c r="K43">
        <v>1</v>
      </c>
      <c r="L43">
        <v>602</v>
      </c>
      <c r="M43">
        <v>1237</v>
      </c>
      <c r="N43">
        <v>107</v>
      </c>
      <c r="O43">
        <v>519</v>
      </c>
      <c r="P43">
        <v>43161.17708600138</v>
      </c>
      <c r="Q43">
        <v>53930.93316190506</v>
      </c>
      <c r="R43">
        <v>1913.561407475727</v>
      </c>
      <c r="S43" t="s">
        <v>203</v>
      </c>
      <c r="T43" t="s">
        <v>204</v>
      </c>
    </row>
    <row r="44" spans="1:20">
      <c r="A44" t="s">
        <v>20</v>
      </c>
      <c r="B44" t="s">
        <v>22</v>
      </c>
      <c r="C44" t="s">
        <v>64</v>
      </c>
      <c r="D44">
        <v>48450.36239320492</v>
      </c>
      <c r="E44">
        <v>48450.36239320503</v>
      </c>
      <c r="F44" t="s">
        <v>111</v>
      </c>
      <c r="G44" t="s">
        <v>112</v>
      </c>
      <c r="H44" t="s">
        <v>113</v>
      </c>
      <c r="I44">
        <v>22.06215866879906</v>
      </c>
      <c r="J44" t="s">
        <v>156</v>
      </c>
      <c r="K44">
        <v>1</v>
      </c>
      <c r="L44">
        <v>602</v>
      </c>
      <c r="M44">
        <v>1237</v>
      </c>
      <c r="N44">
        <v>107</v>
      </c>
      <c r="O44">
        <v>519</v>
      </c>
      <c r="P44">
        <v>43617.63233207775</v>
      </c>
      <c r="Q44">
        <v>54306.82815887476</v>
      </c>
      <c r="R44">
        <v>1916.059482844857</v>
      </c>
      <c r="S44" t="s">
        <v>203</v>
      </c>
      <c r="T44" t="s">
        <v>204</v>
      </c>
    </row>
    <row r="45" spans="1:20">
      <c r="A45" t="s">
        <v>20</v>
      </c>
      <c r="B45" t="s">
        <v>22</v>
      </c>
      <c r="C45" t="s">
        <v>65</v>
      </c>
      <c r="D45">
        <v>54211.07601263571</v>
      </c>
      <c r="E45">
        <v>54211.07601263577</v>
      </c>
      <c r="F45" t="s">
        <v>111</v>
      </c>
      <c r="G45" t="s">
        <v>112</v>
      </c>
      <c r="H45" t="s">
        <v>113</v>
      </c>
      <c r="I45">
        <v>21.85868604331772</v>
      </c>
      <c r="J45" t="s">
        <v>157</v>
      </c>
      <c r="K45">
        <v>1</v>
      </c>
      <c r="L45">
        <v>602</v>
      </c>
      <c r="M45">
        <v>1237</v>
      </c>
      <c r="N45">
        <v>107</v>
      </c>
      <c r="O45">
        <v>519</v>
      </c>
      <c r="P45">
        <v>48633.96288243636</v>
      </c>
      <c r="Q45">
        <v>60483.79178874272</v>
      </c>
      <c r="R45">
        <v>2095.211593946913</v>
      </c>
      <c r="S45" t="s">
        <v>203</v>
      </c>
      <c r="T45" t="s">
        <v>204</v>
      </c>
    </row>
    <row r="46" spans="1:20">
      <c r="A46" t="s">
        <v>20</v>
      </c>
      <c r="B46" t="s">
        <v>22</v>
      </c>
      <c r="C46" t="s">
        <v>66</v>
      </c>
      <c r="D46">
        <v>56683.07555511458</v>
      </c>
      <c r="E46">
        <v>56683.07555511469</v>
      </c>
      <c r="F46" t="s">
        <v>111</v>
      </c>
      <c r="G46" t="s">
        <v>112</v>
      </c>
      <c r="H46" t="s">
        <v>113</v>
      </c>
      <c r="I46">
        <v>22.90962979454677</v>
      </c>
      <c r="J46" t="s">
        <v>158</v>
      </c>
      <c r="K46">
        <v>1</v>
      </c>
      <c r="L46">
        <v>602</v>
      </c>
      <c r="M46">
        <v>1237</v>
      </c>
      <c r="N46">
        <v>107</v>
      </c>
      <c r="O46">
        <v>519</v>
      </c>
      <c r="P46">
        <v>50372.81868191382</v>
      </c>
      <c r="Q46">
        <v>63358.70144775381</v>
      </c>
      <c r="R46">
        <v>1949.475988635542</v>
      </c>
      <c r="S46" t="s">
        <v>203</v>
      </c>
      <c r="T46" t="s">
        <v>204</v>
      </c>
    </row>
    <row r="47" spans="1:20">
      <c r="A47" t="s">
        <v>20</v>
      </c>
      <c r="B47" t="s">
        <v>22</v>
      </c>
      <c r="C47" t="s">
        <v>67</v>
      </c>
      <c r="D47">
        <v>56648.81821372717</v>
      </c>
      <c r="E47">
        <v>56648.81821372725</v>
      </c>
      <c r="F47" t="s">
        <v>111</v>
      </c>
      <c r="G47" t="s">
        <v>112</v>
      </c>
      <c r="H47" t="s">
        <v>113</v>
      </c>
      <c r="I47">
        <v>25.63573614930113</v>
      </c>
      <c r="J47" t="s">
        <v>159</v>
      </c>
      <c r="K47">
        <v>1</v>
      </c>
      <c r="L47">
        <v>602</v>
      </c>
      <c r="M47">
        <v>1237</v>
      </c>
      <c r="N47">
        <v>107</v>
      </c>
      <c r="O47">
        <v>519</v>
      </c>
      <c r="P47">
        <v>49388.23567102924</v>
      </c>
      <c r="Q47">
        <v>63910.57723999758</v>
      </c>
      <c r="R47">
        <v>2080.192952847015</v>
      </c>
      <c r="S47" t="s">
        <v>203</v>
      </c>
      <c r="T47" t="s">
        <v>204</v>
      </c>
    </row>
    <row r="48" spans="1:20">
      <c r="A48" t="s">
        <v>20</v>
      </c>
      <c r="B48" t="s">
        <v>22</v>
      </c>
      <c r="C48" t="s">
        <v>68</v>
      </c>
      <c r="D48">
        <v>55641.01301853707</v>
      </c>
      <c r="E48">
        <v>55641.01301853711</v>
      </c>
      <c r="F48" t="s">
        <v>111</v>
      </c>
      <c r="G48" t="s">
        <v>112</v>
      </c>
      <c r="H48" t="s">
        <v>113</v>
      </c>
      <c r="I48">
        <v>21.95192735893079</v>
      </c>
      <c r="J48" t="s">
        <v>160</v>
      </c>
      <c r="K48">
        <v>1</v>
      </c>
      <c r="L48">
        <v>602</v>
      </c>
      <c r="M48">
        <v>1237</v>
      </c>
      <c r="N48">
        <v>107</v>
      </c>
      <c r="O48">
        <v>519</v>
      </c>
      <c r="P48">
        <v>50587.05479844652</v>
      </c>
      <c r="Q48">
        <v>62801.32955804899</v>
      </c>
      <c r="R48">
        <v>1984.367921783098</v>
      </c>
      <c r="S48" t="s">
        <v>203</v>
      </c>
      <c r="T48" t="s">
        <v>204</v>
      </c>
    </row>
    <row r="49" spans="1:20">
      <c r="A49" t="s">
        <v>20</v>
      </c>
      <c r="B49" t="s">
        <v>22</v>
      </c>
      <c r="C49" t="s">
        <v>69</v>
      </c>
      <c r="D49">
        <v>47102.83191041451</v>
      </c>
      <c r="E49">
        <v>47102.83191041464</v>
      </c>
      <c r="F49" t="s">
        <v>111</v>
      </c>
      <c r="G49" t="s">
        <v>112</v>
      </c>
      <c r="H49" t="s">
        <v>113</v>
      </c>
      <c r="I49">
        <v>24.30066430093271</v>
      </c>
      <c r="J49" t="s">
        <v>161</v>
      </c>
      <c r="K49">
        <v>1</v>
      </c>
      <c r="L49">
        <v>602</v>
      </c>
      <c r="M49">
        <v>1237</v>
      </c>
      <c r="N49">
        <v>107</v>
      </c>
      <c r="O49">
        <v>519</v>
      </c>
      <c r="P49">
        <v>41623.37477154832</v>
      </c>
      <c r="Q49">
        <v>53069.67583033076</v>
      </c>
      <c r="R49">
        <v>1834.378846972012</v>
      </c>
      <c r="S49" t="s">
        <v>203</v>
      </c>
      <c r="T49" t="s">
        <v>204</v>
      </c>
    </row>
    <row r="50" spans="1:20">
      <c r="A50" t="s">
        <v>20</v>
      </c>
      <c r="B50" t="s">
        <v>22</v>
      </c>
      <c r="C50" t="s">
        <v>70</v>
      </c>
      <c r="D50">
        <v>50377.32221259167</v>
      </c>
      <c r="E50">
        <v>50377.32221259177</v>
      </c>
      <c r="F50" t="s">
        <v>111</v>
      </c>
      <c r="G50" t="s">
        <v>112</v>
      </c>
      <c r="H50" t="s">
        <v>113</v>
      </c>
      <c r="I50">
        <v>21.52428366019728</v>
      </c>
      <c r="J50" t="s">
        <v>162</v>
      </c>
      <c r="K50">
        <v>1</v>
      </c>
      <c r="L50">
        <v>602</v>
      </c>
      <c r="M50">
        <v>1237</v>
      </c>
      <c r="N50">
        <v>107</v>
      </c>
      <c r="O50">
        <v>519</v>
      </c>
      <c r="P50">
        <v>45228.58418738473</v>
      </c>
      <c r="Q50">
        <v>56071.94192083454</v>
      </c>
      <c r="R50">
        <v>1921.057650578138</v>
      </c>
      <c r="S50" t="s">
        <v>203</v>
      </c>
      <c r="T50" t="s">
        <v>204</v>
      </c>
    </row>
    <row r="51" spans="1:20">
      <c r="A51" t="s">
        <v>20</v>
      </c>
      <c r="B51" t="s">
        <v>22</v>
      </c>
      <c r="C51" t="s">
        <v>71</v>
      </c>
      <c r="D51">
        <v>49006.03592943112</v>
      </c>
      <c r="E51">
        <v>49006.03592943121</v>
      </c>
      <c r="F51" t="s">
        <v>111</v>
      </c>
      <c r="G51" t="s">
        <v>112</v>
      </c>
      <c r="H51" t="s">
        <v>113</v>
      </c>
      <c r="I51">
        <v>20.60847686576897</v>
      </c>
      <c r="J51" t="s">
        <v>163</v>
      </c>
      <c r="K51">
        <v>1</v>
      </c>
      <c r="L51">
        <v>602</v>
      </c>
      <c r="M51">
        <v>1237</v>
      </c>
      <c r="N51">
        <v>107</v>
      </c>
      <c r="O51">
        <v>519</v>
      </c>
      <c r="P51">
        <v>43966.88015137718</v>
      </c>
      <c r="Q51">
        <v>54066.27772872442</v>
      </c>
      <c r="R51">
        <v>1794.779551050014</v>
      </c>
      <c r="S51" t="s">
        <v>203</v>
      </c>
      <c r="T51" t="s">
        <v>204</v>
      </c>
    </row>
    <row r="52" spans="1:20">
      <c r="A52" t="s">
        <v>20</v>
      </c>
      <c r="B52" t="s">
        <v>22</v>
      </c>
      <c r="C52" t="s">
        <v>72</v>
      </c>
      <c r="D52">
        <v>49092.10104170674</v>
      </c>
      <c r="E52">
        <v>49092.10104170678</v>
      </c>
      <c r="F52" t="s">
        <v>111</v>
      </c>
      <c r="G52" t="s">
        <v>112</v>
      </c>
      <c r="H52" t="s">
        <v>113</v>
      </c>
      <c r="I52">
        <v>20.58274971043948</v>
      </c>
      <c r="J52" t="s">
        <v>164</v>
      </c>
      <c r="K52">
        <v>1</v>
      </c>
      <c r="L52">
        <v>602</v>
      </c>
      <c r="M52">
        <v>1237</v>
      </c>
      <c r="N52">
        <v>107</v>
      </c>
      <c r="O52">
        <v>519</v>
      </c>
      <c r="P52">
        <v>44062.3340919516</v>
      </c>
      <c r="Q52">
        <v>54166.83837696216</v>
      </c>
      <c r="R52">
        <v>1718.379874117642</v>
      </c>
      <c r="S52" t="s">
        <v>203</v>
      </c>
      <c r="T52" t="s">
        <v>204</v>
      </c>
    </row>
    <row r="53" spans="1:20">
      <c r="A53" t="s">
        <v>20</v>
      </c>
      <c r="B53" t="s">
        <v>22</v>
      </c>
      <c r="C53" t="s">
        <v>73</v>
      </c>
      <c r="D53">
        <v>55650.16740362279</v>
      </c>
      <c r="E53">
        <v>55650.1674036228</v>
      </c>
      <c r="F53" t="s">
        <v>111</v>
      </c>
      <c r="G53" t="s">
        <v>112</v>
      </c>
      <c r="H53" t="s">
        <v>113</v>
      </c>
      <c r="I53">
        <v>24.41983048410524</v>
      </c>
      <c r="J53" t="s">
        <v>165</v>
      </c>
      <c r="K53">
        <v>1</v>
      </c>
      <c r="L53">
        <v>602</v>
      </c>
      <c r="M53">
        <v>1237</v>
      </c>
      <c r="N53">
        <v>107</v>
      </c>
      <c r="O53">
        <v>519</v>
      </c>
      <c r="P53">
        <v>49529.82835192466</v>
      </c>
      <c r="Q53">
        <v>63119.50489601014</v>
      </c>
      <c r="R53">
        <v>2130.209996920052</v>
      </c>
      <c r="S53" t="s">
        <v>203</v>
      </c>
      <c r="T53" t="s">
        <v>204</v>
      </c>
    </row>
    <row r="54" spans="1:20">
      <c r="A54" t="s">
        <v>20</v>
      </c>
      <c r="B54" t="s">
        <v>22</v>
      </c>
      <c r="C54" t="s">
        <v>74</v>
      </c>
      <c r="D54">
        <v>54594.81825836807</v>
      </c>
      <c r="E54">
        <v>54594.81825836812</v>
      </c>
      <c r="F54" t="s">
        <v>111</v>
      </c>
      <c r="G54" t="s">
        <v>112</v>
      </c>
      <c r="H54" t="s">
        <v>113</v>
      </c>
      <c r="I54">
        <v>23.29736314590396</v>
      </c>
      <c r="J54" t="s">
        <v>166</v>
      </c>
      <c r="K54">
        <v>1</v>
      </c>
      <c r="L54">
        <v>602</v>
      </c>
      <c r="M54">
        <v>1237</v>
      </c>
      <c r="N54">
        <v>107</v>
      </c>
      <c r="O54">
        <v>519</v>
      </c>
      <c r="P54">
        <v>49080.94019147704</v>
      </c>
      <c r="Q54">
        <v>61800.09325997532</v>
      </c>
      <c r="R54">
        <v>2059.157541762735</v>
      </c>
      <c r="S54" t="s">
        <v>203</v>
      </c>
      <c r="T54" t="s">
        <v>204</v>
      </c>
    </row>
    <row r="55" spans="1:20">
      <c r="A55" t="s">
        <v>20</v>
      </c>
      <c r="B55" t="s">
        <v>22</v>
      </c>
      <c r="C55" t="s">
        <v>75</v>
      </c>
      <c r="D55">
        <v>54473.30536559291</v>
      </c>
      <c r="E55">
        <v>54473.30536559293</v>
      </c>
      <c r="F55" t="s">
        <v>111</v>
      </c>
      <c r="G55" t="s">
        <v>112</v>
      </c>
      <c r="H55" t="s">
        <v>113</v>
      </c>
      <c r="I55">
        <v>23.5669871881583</v>
      </c>
      <c r="J55" t="s">
        <v>167</v>
      </c>
      <c r="K55">
        <v>1</v>
      </c>
      <c r="L55">
        <v>602</v>
      </c>
      <c r="M55">
        <v>1237</v>
      </c>
      <c r="N55">
        <v>107</v>
      </c>
      <c r="O55">
        <v>519</v>
      </c>
      <c r="P55">
        <v>48460.17529633053</v>
      </c>
      <c r="Q55">
        <v>61297.89219280616</v>
      </c>
      <c r="R55">
        <v>2114.149344168945</v>
      </c>
      <c r="S55" t="s">
        <v>203</v>
      </c>
      <c r="T55" t="s">
        <v>204</v>
      </c>
    </row>
    <row r="56" spans="1:20">
      <c r="A56" t="s">
        <v>20</v>
      </c>
      <c r="B56" t="s">
        <v>22</v>
      </c>
      <c r="C56" t="s">
        <v>76</v>
      </c>
      <c r="D56">
        <v>52958.24180389363</v>
      </c>
      <c r="E56">
        <v>52958.24180389364</v>
      </c>
      <c r="F56" t="s">
        <v>111</v>
      </c>
      <c r="G56" t="s">
        <v>112</v>
      </c>
      <c r="H56" t="s">
        <v>113</v>
      </c>
      <c r="I56">
        <v>28.52314404883579</v>
      </c>
      <c r="J56" t="s">
        <v>168</v>
      </c>
      <c r="K56">
        <v>1</v>
      </c>
      <c r="L56">
        <v>602</v>
      </c>
      <c r="M56">
        <v>1237</v>
      </c>
      <c r="N56">
        <v>107</v>
      </c>
      <c r="O56">
        <v>519</v>
      </c>
      <c r="P56">
        <v>46364.76622278202</v>
      </c>
      <c r="Q56">
        <v>61470.12181823737</v>
      </c>
      <c r="R56">
        <v>2150.404983548422</v>
      </c>
      <c r="S56" t="s">
        <v>203</v>
      </c>
      <c r="T56" t="s">
        <v>204</v>
      </c>
    </row>
    <row r="57" spans="1:20">
      <c r="A57" t="s">
        <v>20</v>
      </c>
      <c r="B57" t="s">
        <v>22</v>
      </c>
      <c r="C57" t="s">
        <v>77</v>
      </c>
      <c r="D57">
        <v>47581.76917985157</v>
      </c>
      <c r="E57">
        <v>47581.76917985161</v>
      </c>
      <c r="F57" t="s">
        <v>111</v>
      </c>
      <c r="G57" t="s">
        <v>112</v>
      </c>
      <c r="H57" t="s">
        <v>113</v>
      </c>
      <c r="I57">
        <v>21.71707023574404</v>
      </c>
      <c r="J57" t="s">
        <v>169</v>
      </c>
      <c r="K57">
        <v>1</v>
      </c>
      <c r="L57">
        <v>602</v>
      </c>
      <c r="M57">
        <v>1237</v>
      </c>
      <c r="N57">
        <v>107</v>
      </c>
      <c r="O57">
        <v>519</v>
      </c>
      <c r="P57">
        <v>42463.02147345852</v>
      </c>
      <c r="Q57">
        <v>52796.3877056565</v>
      </c>
      <c r="R57">
        <v>1737.745966605452</v>
      </c>
      <c r="S57" t="s">
        <v>203</v>
      </c>
      <c r="T57" t="s">
        <v>204</v>
      </c>
    </row>
    <row r="58" spans="1:20">
      <c r="A58" t="s">
        <v>20</v>
      </c>
      <c r="B58" t="s">
        <v>22</v>
      </c>
      <c r="C58" t="s">
        <v>78</v>
      </c>
      <c r="D58">
        <v>50791.73347474757</v>
      </c>
      <c r="E58">
        <v>50791.73347474761</v>
      </c>
      <c r="F58" t="s">
        <v>111</v>
      </c>
      <c r="G58" t="s">
        <v>112</v>
      </c>
      <c r="H58" t="s">
        <v>113</v>
      </c>
      <c r="I58">
        <v>20.92451819659172</v>
      </c>
      <c r="J58" t="s">
        <v>170</v>
      </c>
      <c r="K58">
        <v>1</v>
      </c>
      <c r="L58">
        <v>602</v>
      </c>
      <c r="M58">
        <v>1237</v>
      </c>
      <c r="N58">
        <v>107</v>
      </c>
      <c r="O58">
        <v>519</v>
      </c>
      <c r="P58">
        <v>45398.06043164217</v>
      </c>
      <c r="Q58">
        <v>56025.98594493009</v>
      </c>
      <c r="R58">
        <v>1935.721634241519</v>
      </c>
      <c r="S58" t="s">
        <v>203</v>
      </c>
      <c r="T58" t="s">
        <v>204</v>
      </c>
    </row>
    <row r="59" spans="1:20">
      <c r="A59" t="s">
        <v>20</v>
      </c>
      <c r="B59" t="s">
        <v>22</v>
      </c>
      <c r="C59" t="s">
        <v>79</v>
      </c>
      <c r="D59">
        <v>49846.36509518296</v>
      </c>
      <c r="E59">
        <v>49846.36509518304</v>
      </c>
      <c r="F59" t="s">
        <v>111</v>
      </c>
      <c r="G59" t="s">
        <v>112</v>
      </c>
      <c r="H59" t="s">
        <v>113</v>
      </c>
      <c r="I59">
        <v>21.71838605355521</v>
      </c>
      <c r="J59" t="s">
        <v>171</v>
      </c>
      <c r="K59">
        <v>1</v>
      </c>
      <c r="L59">
        <v>602</v>
      </c>
      <c r="M59">
        <v>1237</v>
      </c>
      <c r="N59">
        <v>107</v>
      </c>
      <c r="O59">
        <v>519</v>
      </c>
      <c r="P59">
        <v>43909.12893305437</v>
      </c>
      <c r="Q59">
        <v>54734.95493809081</v>
      </c>
      <c r="R59">
        <v>1944.00026862174</v>
      </c>
      <c r="S59" t="s">
        <v>203</v>
      </c>
      <c r="T59" t="s">
        <v>204</v>
      </c>
    </row>
    <row r="60" spans="1:20">
      <c r="A60" t="s">
        <v>20</v>
      </c>
      <c r="B60" t="s">
        <v>22</v>
      </c>
      <c r="C60" t="s">
        <v>80</v>
      </c>
      <c r="D60">
        <v>49017.98554600534</v>
      </c>
      <c r="E60">
        <v>49017.98554600539</v>
      </c>
      <c r="F60" t="s">
        <v>111</v>
      </c>
      <c r="G60" t="s">
        <v>112</v>
      </c>
      <c r="H60" t="s">
        <v>113</v>
      </c>
      <c r="I60">
        <v>21.48668005439617</v>
      </c>
      <c r="J60" t="s">
        <v>172</v>
      </c>
      <c r="K60">
        <v>1</v>
      </c>
      <c r="L60">
        <v>602</v>
      </c>
      <c r="M60">
        <v>1237</v>
      </c>
      <c r="N60">
        <v>107</v>
      </c>
      <c r="O60">
        <v>519</v>
      </c>
      <c r="P60">
        <v>44160.55461287308</v>
      </c>
      <c r="Q60">
        <v>54692.89233625341</v>
      </c>
      <c r="R60">
        <v>1823.662991828546</v>
      </c>
      <c r="S60" t="s">
        <v>203</v>
      </c>
      <c r="T60" t="s">
        <v>204</v>
      </c>
    </row>
    <row r="61" spans="1:20">
      <c r="A61" t="s">
        <v>20</v>
      </c>
      <c r="B61" t="s">
        <v>22</v>
      </c>
      <c r="C61" t="s">
        <v>81</v>
      </c>
      <c r="D61">
        <v>53076.02461020242</v>
      </c>
      <c r="E61">
        <v>53076.02461020246</v>
      </c>
      <c r="F61" t="s">
        <v>111</v>
      </c>
      <c r="G61" t="s">
        <v>112</v>
      </c>
      <c r="H61" t="s">
        <v>113</v>
      </c>
      <c r="I61">
        <v>26.14437697674709</v>
      </c>
      <c r="J61" t="s">
        <v>173</v>
      </c>
      <c r="K61">
        <v>1</v>
      </c>
      <c r="L61">
        <v>602</v>
      </c>
      <c r="M61">
        <v>1237</v>
      </c>
      <c r="N61">
        <v>107</v>
      </c>
      <c r="O61">
        <v>519</v>
      </c>
      <c r="P61">
        <v>47076.47201910384</v>
      </c>
      <c r="Q61">
        <v>60952.86797746622</v>
      </c>
      <c r="R61">
        <v>2124.427571562609</v>
      </c>
      <c r="S61" t="s">
        <v>203</v>
      </c>
      <c r="T61" t="s">
        <v>204</v>
      </c>
    </row>
    <row r="62" spans="1:20">
      <c r="A62" t="s">
        <v>20</v>
      </c>
      <c r="B62" t="s">
        <v>22</v>
      </c>
      <c r="C62" t="s">
        <v>82</v>
      </c>
      <c r="D62">
        <v>56050.33644570007</v>
      </c>
      <c r="E62">
        <v>56050.33644570011</v>
      </c>
      <c r="F62" t="s">
        <v>111</v>
      </c>
      <c r="G62" t="s">
        <v>112</v>
      </c>
      <c r="H62" t="s">
        <v>113</v>
      </c>
      <c r="I62">
        <v>21.7938585085763</v>
      </c>
      <c r="J62" t="s">
        <v>174</v>
      </c>
      <c r="K62">
        <v>1</v>
      </c>
      <c r="L62">
        <v>602</v>
      </c>
      <c r="M62">
        <v>1237</v>
      </c>
      <c r="N62">
        <v>107</v>
      </c>
      <c r="O62">
        <v>519</v>
      </c>
      <c r="P62">
        <v>50437.75880024316</v>
      </c>
      <c r="Q62">
        <v>62653.2898188</v>
      </c>
      <c r="R62">
        <v>2017.749458797866</v>
      </c>
      <c r="S62" t="s">
        <v>203</v>
      </c>
      <c r="T62" t="s">
        <v>204</v>
      </c>
    </row>
    <row r="63" spans="1:20">
      <c r="A63" t="s">
        <v>20</v>
      </c>
      <c r="B63" t="s">
        <v>22</v>
      </c>
      <c r="C63" t="s">
        <v>83</v>
      </c>
      <c r="D63">
        <v>54670.1475174544</v>
      </c>
      <c r="E63">
        <v>54670.14751745442</v>
      </c>
      <c r="F63" t="s">
        <v>111</v>
      </c>
      <c r="G63" t="s">
        <v>112</v>
      </c>
      <c r="H63" t="s">
        <v>113</v>
      </c>
      <c r="I63">
        <v>25.50740178337937</v>
      </c>
      <c r="J63" t="s">
        <v>175</v>
      </c>
      <c r="K63">
        <v>1</v>
      </c>
      <c r="L63">
        <v>602</v>
      </c>
      <c r="M63">
        <v>1237</v>
      </c>
      <c r="N63">
        <v>107</v>
      </c>
      <c r="O63">
        <v>519</v>
      </c>
      <c r="P63">
        <v>47858.46047537919</v>
      </c>
      <c r="Q63">
        <v>61803.39465822248</v>
      </c>
      <c r="R63">
        <v>2137.50861129594</v>
      </c>
      <c r="S63" t="s">
        <v>203</v>
      </c>
      <c r="T63" t="s">
        <v>204</v>
      </c>
    </row>
    <row r="64" spans="1:20">
      <c r="A64" t="s">
        <v>20</v>
      </c>
      <c r="B64" t="s">
        <v>22</v>
      </c>
      <c r="C64" t="s">
        <v>84</v>
      </c>
      <c r="D64">
        <v>51699.66491790653</v>
      </c>
      <c r="E64">
        <v>51699.66491790656</v>
      </c>
      <c r="F64" t="s">
        <v>111</v>
      </c>
      <c r="G64" t="s">
        <v>112</v>
      </c>
      <c r="H64" t="s">
        <v>113</v>
      </c>
      <c r="I64">
        <v>23.18923665389552</v>
      </c>
      <c r="J64" t="s">
        <v>176</v>
      </c>
      <c r="K64">
        <v>1</v>
      </c>
      <c r="L64">
        <v>602</v>
      </c>
      <c r="M64">
        <v>1237</v>
      </c>
      <c r="N64">
        <v>107</v>
      </c>
      <c r="O64">
        <v>519</v>
      </c>
      <c r="P64">
        <v>45857.20048451996</v>
      </c>
      <c r="Q64">
        <v>57845.9581316043</v>
      </c>
      <c r="R64">
        <v>1976.78024326984</v>
      </c>
      <c r="S64" t="s">
        <v>203</v>
      </c>
      <c r="T64" t="s">
        <v>204</v>
      </c>
    </row>
    <row r="65" spans="1:20">
      <c r="A65" t="s">
        <v>20</v>
      </c>
      <c r="B65" t="s">
        <v>22</v>
      </c>
      <c r="C65" t="s">
        <v>85</v>
      </c>
      <c r="D65">
        <v>48003.69609042078</v>
      </c>
      <c r="E65">
        <v>48003.69609042083</v>
      </c>
      <c r="F65" t="s">
        <v>111</v>
      </c>
      <c r="G65" t="s">
        <v>112</v>
      </c>
      <c r="H65" t="s">
        <v>113</v>
      </c>
      <c r="I65">
        <v>21.32945386497962</v>
      </c>
      <c r="J65" t="s">
        <v>177</v>
      </c>
      <c r="K65">
        <v>1</v>
      </c>
      <c r="L65">
        <v>602</v>
      </c>
      <c r="M65">
        <v>1237</v>
      </c>
      <c r="N65">
        <v>107</v>
      </c>
      <c r="O65">
        <v>519</v>
      </c>
      <c r="P65">
        <v>43571.14301876839</v>
      </c>
      <c r="Q65">
        <v>53810.06922985971</v>
      </c>
      <c r="R65">
        <v>1655.666044326639</v>
      </c>
      <c r="S65" t="s">
        <v>203</v>
      </c>
      <c r="T65" t="s">
        <v>204</v>
      </c>
    </row>
    <row r="66" spans="1:20">
      <c r="A66" t="s">
        <v>20</v>
      </c>
      <c r="B66" t="s">
        <v>22</v>
      </c>
      <c r="C66" t="s">
        <v>86</v>
      </c>
      <c r="D66">
        <v>54688.11365978788</v>
      </c>
      <c r="E66">
        <v>54688.11365978793</v>
      </c>
      <c r="F66" t="s">
        <v>111</v>
      </c>
      <c r="G66" t="s">
        <v>112</v>
      </c>
      <c r="H66" t="s">
        <v>113</v>
      </c>
      <c r="I66">
        <v>24.48400103833637</v>
      </c>
      <c r="J66" t="s">
        <v>178</v>
      </c>
      <c r="K66">
        <v>1</v>
      </c>
      <c r="L66">
        <v>602</v>
      </c>
      <c r="M66">
        <v>1237</v>
      </c>
      <c r="N66">
        <v>107</v>
      </c>
      <c r="O66">
        <v>519</v>
      </c>
      <c r="P66">
        <v>49047.26930788485</v>
      </c>
      <c r="Q66">
        <v>62437.10762419389</v>
      </c>
      <c r="R66">
        <v>2116.938459644954</v>
      </c>
      <c r="S66" t="s">
        <v>203</v>
      </c>
      <c r="T66" t="s">
        <v>204</v>
      </c>
    </row>
    <row r="67" spans="1:20">
      <c r="A67" t="s">
        <v>20</v>
      </c>
      <c r="B67" t="s">
        <v>22</v>
      </c>
      <c r="C67" t="s">
        <v>87</v>
      </c>
      <c r="D67">
        <v>53305.75842973813</v>
      </c>
      <c r="E67">
        <v>53305.75842973817</v>
      </c>
      <c r="F67" t="s">
        <v>111</v>
      </c>
      <c r="G67" t="s">
        <v>112</v>
      </c>
      <c r="H67" t="s">
        <v>113</v>
      </c>
      <c r="I67">
        <v>29.07294645662411</v>
      </c>
      <c r="J67" t="s">
        <v>179</v>
      </c>
      <c r="K67">
        <v>1</v>
      </c>
      <c r="L67">
        <v>602</v>
      </c>
      <c r="M67">
        <v>1237</v>
      </c>
      <c r="N67">
        <v>107</v>
      </c>
      <c r="O67">
        <v>519</v>
      </c>
      <c r="P67">
        <v>46488.98040997481</v>
      </c>
      <c r="Q67">
        <v>61986.53501654996</v>
      </c>
      <c r="R67">
        <v>2144.463367039163</v>
      </c>
      <c r="S67" t="s">
        <v>203</v>
      </c>
      <c r="T67" t="s">
        <v>204</v>
      </c>
    </row>
    <row r="68" spans="1:20">
      <c r="A68" t="s">
        <v>20</v>
      </c>
      <c r="B68" t="s">
        <v>22</v>
      </c>
      <c r="C68" t="s">
        <v>88</v>
      </c>
      <c r="D68">
        <v>49975.41477802814</v>
      </c>
      <c r="E68">
        <v>49975.41477802821</v>
      </c>
      <c r="F68" t="s">
        <v>111</v>
      </c>
      <c r="G68" t="s">
        <v>112</v>
      </c>
      <c r="H68" t="s">
        <v>113</v>
      </c>
      <c r="I68">
        <v>22.34582918064496</v>
      </c>
      <c r="J68" t="s">
        <v>180</v>
      </c>
      <c r="K68">
        <v>1</v>
      </c>
      <c r="L68">
        <v>602</v>
      </c>
      <c r="M68">
        <v>1237</v>
      </c>
      <c r="N68">
        <v>107</v>
      </c>
      <c r="O68">
        <v>519</v>
      </c>
      <c r="P68">
        <v>45012.80455849179</v>
      </c>
      <c r="Q68">
        <v>56180.22537710876</v>
      </c>
      <c r="R68">
        <v>1932.879924412213</v>
      </c>
      <c r="S68" t="s">
        <v>203</v>
      </c>
      <c r="T68" t="s">
        <v>204</v>
      </c>
    </row>
    <row r="69" spans="1:20">
      <c r="A69" t="s">
        <v>20</v>
      </c>
      <c r="B69" t="s">
        <v>22</v>
      </c>
      <c r="C69" t="s">
        <v>89</v>
      </c>
      <c r="D69">
        <v>48187.43534339</v>
      </c>
      <c r="E69">
        <v>48187.43534339004</v>
      </c>
      <c r="F69" t="s">
        <v>111</v>
      </c>
      <c r="G69" t="s">
        <v>112</v>
      </c>
      <c r="H69" t="s">
        <v>113</v>
      </c>
      <c r="I69">
        <v>19.7924292997778</v>
      </c>
      <c r="J69" t="s">
        <v>181</v>
      </c>
      <c r="K69">
        <v>1</v>
      </c>
      <c r="L69">
        <v>602</v>
      </c>
      <c r="M69">
        <v>1237</v>
      </c>
      <c r="N69">
        <v>107</v>
      </c>
      <c r="O69">
        <v>519</v>
      </c>
      <c r="P69">
        <v>43854.16625136756</v>
      </c>
      <c r="Q69">
        <v>53391.63032308417</v>
      </c>
      <c r="R69">
        <v>1844.54810155758</v>
      </c>
      <c r="S69" t="s">
        <v>203</v>
      </c>
      <c r="T69" t="s">
        <v>204</v>
      </c>
    </row>
    <row r="70" spans="1:20">
      <c r="A70" t="s">
        <v>20</v>
      </c>
      <c r="B70" t="s">
        <v>22</v>
      </c>
      <c r="C70" t="s">
        <v>90</v>
      </c>
      <c r="D70">
        <v>56069.18087488152</v>
      </c>
      <c r="E70">
        <v>56069.18087488154</v>
      </c>
      <c r="F70" t="s">
        <v>111</v>
      </c>
      <c r="G70" t="s">
        <v>112</v>
      </c>
      <c r="H70" t="s">
        <v>113</v>
      </c>
      <c r="I70">
        <v>25.34672572215142</v>
      </c>
      <c r="J70" t="s">
        <v>182</v>
      </c>
      <c r="K70">
        <v>1</v>
      </c>
      <c r="L70">
        <v>602</v>
      </c>
      <c r="M70">
        <v>1237</v>
      </c>
      <c r="N70">
        <v>107</v>
      </c>
      <c r="O70">
        <v>519</v>
      </c>
      <c r="P70">
        <v>50065.54066732637</v>
      </c>
      <c r="Q70">
        <v>64277.24215833956</v>
      </c>
      <c r="R70">
        <v>2093.857973585461</v>
      </c>
      <c r="S70" t="s">
        <v>203</v>
      </c>
      <c r="T70" t="s">
        <v>204</v>
      </c>
    </row>
    <row r="71" spans="1:20">
      <c r="A71" t="s">
        <v>20</v>
      </c>
      <c r="B71" t="s">
        <v>22</v>
      </c>
      <c r="C71" t="s">
        <v>91</v>
      </c>
      <c r="D71">
        <v>55162.54702026048</v>
      </c>
      <c r="E71">
        <v>55162.54702026052</v>
      </c>
      <c r="F71" t="s">
        <v>111</v>
      </c>
      <c r="G71" t="s">
        <v>112</v>
      </c>
      <c r="H71" t="s">
        <v>113</v>
      </c>
      <c r="I71">
        <v>20.72249170041631</v>
      </c>
      <c r="J71" t="s">
        <v>183</v>
      </c>
      <c r="K71">
        <v>1</v>
      </c>
      <c r="L71">
        <v>602</v>
      </c>
      <c r="M71">
        <v>1237</v>
      </c>
      <c r="N71">
        <v>107</v>
      </c>
      <c r="O71">
        <v>519</v>
      </c>
      <c r="P71">
        <v>50054.60750077837</v>
      </c>
      <c r="Q71">
        <v>61485.66172879009</v>
      </c>
      <c r="R71">
        <v>2059.020002603402</v>
      </c>
      <c r="S71" t="s">
        <v>203</v>
      </c>
      <c r="T71" t="s">
        <v>204</v>
      </c>
    </row>
    <row r="72" spans="1:20">
      <c r="A72" t="s">
        <v>20</v>
      </c>
      <c r="B72" t="s">
        <v>22</v>
      </c>
      <c r="C72" t="s">
        <v>92</v>
      </c>
      <c r="D72">
        <v>54092.0237726167</v>
      </c>
      <c r="E72">
        <v>54092.0237726167</v>
      </c>
      <c r="F72" t="s">
        <v>111</v>
      </c>
      <c r="G72" t="s">
        <v>112</v>
      </c>
      <c r="H72" t="s">
        <v>113</v>
      </c>
      <c r="I72">
        <v>28.40114115525004</v>
      </c>
      <c r="J72" t="s">
        <v>184</v>
      </c>
      <c r="K72">
        <v>1</v>
      </c>
      <c r="L72">
        <v>602</v>
      </c>
      <c r="M72">
        <v>1237</v>
      </c>
      <c r="N72">
        <v>107</v>
      </c>
      <c r="O72">
        <v>519</v>
      </c>
      <c r="P72">
        <v>45574.41142654294</v>
      </c>
      <c r="Q72">
        <v>60937.16345193522</v>
      </c>
      <c r="R72">
        <v>2180.999627025713</v>
      </c>
      <c r="S72" t="s">
        <v>203</v>
      </c>
      <c r="T72" t="s">
        <v>204</v>
      </c>
    </row>
    <row r="73" spans="1:20">
      <c r="A73" t="s">
        <v>20</v>
      </c>
      <c r="B73" t="s">
        <v>22</v>
      </c>
      <c r="C73" t="s">
        <v>93</v>
      </c>
      <c r="D73">
        <v>46449.1300344636</v>
      </c>
      <c r="E73">
        <v>46449.13003446368</v>
      </c>
      <c r="F73" t="s">
        <v>111</v>
      </c>
      <c r="G73" t="s">
        <v>112</v>
      </c>
      <c r="H73" t="s">
        <v>113</v>
      </c>
      <c r="I73">
        <v>19.1886978608893</v>
      </c>
      <c r="J73" t="s">
        <v>185</v>
      </c>
      <c r="K73">
        <v>1</v>
      </c>
      <c r="L73">
        <v>602</v>
      </c>
      <c r="M73">
        <v>1237</v>
      </c>
      <c r="N73">
        <v>107</v>
      </c>
      <c r="O73">
        <v>519</v>
      </c>
      <c r="P73">
        <v>41989.21383404332</v>
      </c>
      <c r="Q73">
        <v>50902.19705536813</v>
      </c>
      <c r="R73">
        <v>1617.023592456871</v>
      </c>
      <c r="S73" t="s">
        <v>203</v>
      </c>
      <c r="T73" t="s">
        <v>204</v>
      </c>
    </row>
    <row r="74" spans="1:20">
      <c r="A74" t="s">
        <v>20</v>
      </c>
      <c r="B74" t="s">
        <v>22</v>
      </c>
      <c r="C74" t="s">
        <v>94</v>
      </c>
      <c r="D74">
        <v>45458.89677088889</v>
      </c>
      <c r="E74">
        <v>45458.89677088897</v>
      </c>
      <c r="F74" t="s">
        <v>111</v>
      </c>
      <c r="G74" t="s">
        <v>112</v>
      </c>
      <c r="H74" t="s">
        <v>113</v>
      </c>
      <c r="I74">
        <v>21.19766964976349</v>
      </c>
      <c r="J74" t="s">
        <v>186</v>
      </c>
      <c r="K74">
        <v>1</v>
      </c>
      <c r="L74">
        <v>602</v>
      </c>
      <c r="M74">
        <v>1237</v>
      </c>
      <c r="N74">
        <v>107</v>
      </c>
      <c r="O74">
        <v>519</v>
      </c>
      <c r="P74">
        <v>40665.25185189393</v>
      </c>
      <c r="Q74">
        <v>50301.47861581395</v>
      </c>
      <c r="R74">
        <v>1614.78874133261</v>
      </c>
      <c r="S74" t="s">
        <v>203</v>
      </c>
      <c r="T74" t="s">
        <v>204</v>
      </c>
    </row>
    <row r="75" spans="1:20">
      <c r="A75" t="s">
        <v>20</v>
      </c>
      <c r="B75" t="s">
        <v>22</v>
      </c>
      <c r="C75" t="s">
        <v>95</v>
      </c>
      <c r="D75">
        <v>56209.05951371075</v>
      </c>
      <c r="E75">
        <v>56209.05951371076</v>
      </c>
      <c r="F75" t="s">
        <v>111</v>
      </c>
      <c r="G75" t="s">
        <v>112</v>
      </c>
      <c r="H75" t="s">
        <v>113</v>
      </c>
      <c r="I75">
        <v>18.88779081180652</v>
      </c>
      <c r="J75" t="s">
        <v>187</v>
      </c>
      <c r="K75">
        <v>1</v>
      </c>
      <c r="L75">
        <v>602</v>
      </c>
      <c r="M75">
        <v>1237</v>
      </c>
      <c r="N75">
        <v>107</v>
      </c>
      <c r="O75">
        <v>519</v>
      </c>
      <c r="P75">
        <v>51474.04096231513</v>
      </c>
      <c r="Q75">
        <v>62090.69054054865</v>
      </c>
      <c r="R75">
        <v>1969.286568882352</v>
      </c>
      <c r="S75" t="s">
        <v>203</v>
      </c>
      <c r="T75" t="s">
        <v>204</v>
      </c>
    </row>
    <row r="76" spans="1:20">
      <c r="A76" t="s">
        <v>20</v>
      </c>
      <c r="B76" t="s">
        <v>22</v>
      </c>
      <c r="C76" t="s">
        <v>96</v>
      </c>
      <c r="D76">
        <v>55041.49170057638</v>
      </c>
      <c r="E76">
        <v>55041.49170057639</v>
      </c>
      <c r="F76" t="s">
        <v>111</v>
      </c>
      <c r="G76" t="s">
        <v>112</v>
      </c>
      <c r="H76" t="s">
        <v>113</v>
      </c>
      <c r="I76">
        <v>20.18665891087136</v>
      </c>
      <c r="J76" t="s">
        <v>188</v>
      </c>
      <c r="K76">
        <v>1</v>
      </c>
      <c r="L76">
        <v>602</v>
      </c>
      <c r="M76">
        <v>1237</v>
      </c>
      <c r="N76">
        <v>107</v>
      </c>
      <c r="O76">
        <v>519</v>
      </c>
      <c r="P76">
        <v>49304.98207731262</v>
      </c>
      <c r="Q76">
        <v>60416.02026636354</v>
      </c>
      <c r="R76">
        <v>2049.899057026279</v>
      </c>
      <c r="S76" t="s">
        <v>203</v>
      </c>
      <c r="T76" t="s">
        <v>204</v>
      </c>
    </row>
    <row r="77" spans="1:20">
      <c r="A77" t="s">
        <v>20</v>
      </c>
      <c r="B77" t="s">
        <v>22</v>
      </c>
      <c r="C77" t="s">
        <v>97</v>
      </c>
      <c r="D77">
        <v>46957.52562769205</v>
      </c>
      <c r="E77">
        <v>46957.52562769209</v>
      </c>
      <c r="F77" t="s">
        <v>111</v>
      </c>
      <c r="G77" t="s">
        <v>112</v>
      </c>
      <c r="H77" t="s">
        <v>113</v>
      </c>
      <c r="I77">
        <v>19.98553563725527</v>
      </c>
      <c r="J77" t="s">
        <v>189</v>
      </c>
      <c r="K77">
        <v>1</v>
      </c>
      <c r="L77">
        <v>602</v>
      </c>
      <c r="M77">
        <v>1237</v>
      </c>
      <c r="N77">
        <v>107</v>
      </c>
      <c r="O77">
        <v>519</v>
      </c>
      <c r="P77">
        <v>42883.88077355102</v>
      </c>
      <c r="Q77">
        <v>52268.59379224669</v>
      </c>
      <c r="R77">
        <v>1534.803357937077</v>
      </c>
      <c r="S77" t="s">
        <v>203</v>
      </c>
      <c r="T77" t="s">
        <v>204</v>
      </c>
    </row>
    <row r="78" spans="1:20">
      <c r="A78" t="s">
        <v>20</v>
      </c>
      <c r="B78" t="s">
        <v>22</v>
      </c>
      <c r="C78" t="s">
        <v>98</v>
      </c>
      <c r="D78">
        <v>45731.15806292731</v>
      </c>
      <c r="E78">
        <v>45731.15806292738</v>
      </c>
      <c r="F78" t="s">
        <v>111</v>
      </c>
      <c r="G78" t="s">
        <v>112</v>
      </c>
      <c r="H78" t="s">
        <v>113</v>
      </c>
      <c r="I78">
        <v>19.41309405857228</v>
      </c>
      <c r="J78" t="s">
        <v>190</v>
      </c>
      <c r="K78">
        <v>1</v>
      </c>
      <c r="L78">
        <v>602</v>
      </c>
      <c r="M78">
        <v>1237</v>
      </c>
      <c r="N78">
        <v>107</v>
      </c>
      <c r="O78">
        <v>519</v>
      </c>
      <c r="P78">
        <v>41505.90140988136</v>
      </c>
      <c r="Q78">
        <v>50383.7341387118</v>
      </c>
      <c r="R78">
        <v>1479.27566018944</v>
      </c>
      <c r="S78" t="s">
        <v>203</v>
      </c>
      <c r="T78" t="s">
        <v>204</v>
      </c>
    </row>
    <row r="79" spans="1:20">
      <c r="A79" t="s">
        <v>20</v>
      </c>
      <c r="B79" t="s">
        <v>22</v>
      </c>
      <c r="C79" t="s">
        <v>99</v>
      </c>
      <c r="D79">
        <v>54921.96322056153</v>
      </c>
      <c r="E79">
        <v>54921.96322056152</v>
      </c>
      <c r="F79" t="s">
        <v>111</v>
      </c>
      <c r="G79" t="s">
        <v>112</v>
      </c>
      <c r="H79" t="s">
        <v>113</v>
      </c>
      <c r="I79">
        <v>24.95663875040057</v>
      </c>
      <c r="J79" t="s">
        <v>191</v>
      </c>
      <c r="K79">
        <v>1</v>
      </c>
      <c r="L79">
        <v>602</v>
      </c>
      <c r="M79">
        <v>1237</v>
      </c>
      <c r="N79">
        <v>107</v>
      </c>
      <c r="O79">
        <v>519</v>
      </c>
      <c r="P79">
        <v>48933.87312384362</v>
      </c>
      <c r="Q79">
        <v>62640.54907942702</v>
      </c>
      <c r="R79">
        <v>2001.786932979709</v>
      </c>
      <c r="S79" t="s">
        <v>203</v>
      </c>
      <c r="T79" t="s">
        <v>204</v>
      </c>
    </row>
    <row r="80" spans="1:20">
      <c r="A80" t="s">
        <v>20</v>
      </c>
      <c r="B80" t="s">
        <v>22</v>
      </c>
      <c r="C80" t="s">
        <v>100</v>
      </c>
      <c r="D80">
        <v>45692.32360111844</v>
      </c>
      <c r="E80">
        <v>45692.32360111843</v>
      </c>
      <c r="F80" t="s">
        <v>111</v>
      </c>
      <c r="G80" t="s">
        <v>112</v>
      </c>
      <c r="H80" t="s">
        <v>113</v>
      </c>
      <c r="I80">
        <v>24.0489922912572</v>
      </c>
      <c r="J80" t="s">
        <v>192</v>
      </c>
      <c r="K80">
        <v>1</v>
      </c>
      <c r="L80">
        <v>602</v>
      </c>
      <c r="M80">
        <v>1237</v>
      </c>
      <c r="N80">
        <v>107</v>
      </c>
      <c r="O80">
        <v>519</v>
      </c>
      <c r="P80">
        <v>39674.00932023899</v>
      </c>
      <c r="Q80">
        <v>50662.55270076826</v>
      </c>
      <c r="R80">
        <v>1631.420924398772</v>
      </c>
      <c r="S80" t="s">
        <v>203</v>
      </c>
      <c r="T80" t="s">
        <v>204</v>
      </c>
    </row>
    <row r="81" spans="1:20">
      <c r="A81" t="s">
        <v>20</v>
      </c>
      <c r="B81" t="s">
        <v>22</v>
      </c>
      <c r="C81" t="s">
        <v>101</v>
      </c>
      <c r="D81">
        <v>56023.55901708373</v>
      </c>
      <c r="E81">
        <v>56023.55901708376</v>
      </c>
      <c r="F81" t="s">
        <v>111</v>
      </c>
      <c r="G81" t="s">
        <v>112</v>
      </c>
      <c r="H81" t="s">
        <v>113</v>
      </c>
      <c r="I81">
        <v>20.95537711248719</v>
      </c>
      <c r="J81" t="s">
        <v>193</v>
      </c>
      <c r="K81">
        <v>1</v>
      </c>
      <c r="L81">
        <v>602</v>
      </c>
      <c r="M81">
        <v>1237</v>
      </c>
      <c r="N81">
        <v>107</v>
      </c>
      <c r="O81">
        <v>519</v>
      </c>
      <c r="P81">
        <v>50608.47109203942</v>
      </c>
      <c r="Q81">
        <v>62348.41915590614</v>
      </c>
      <c r="R81">
        <v>2087.526754380327</v>
      </c>
      <c r="S81" t="s">
        <v>203</v>
      </c>
      <c r="T81" t="s">
        <v>204</v>
      </c>
    </row>
    <row r="82" spans="1:20">
      <c r="A82" t="s">
        <v>20</v>
      </c>
      <c r="B82" t="s">
        <v>22</v>
      </c>
      <c r="C82" t="s">
        <v>102</v>
      </c>
      <c r="D82">
        <v>46222.51067972397</v>
      </c>
      <c r="E82">
        <v>46222.510679724</v>
      </c>
      <c r="F82" t="s">
        <v>111</v>
      </c>
      <c r="G82" t="s">
        <v>112</v>
      </c>
      <c r="H82" t="s">
        <v>113</v>
      </c>
      <c r="I82">
        <v>22.89141407014466</v>
      </c>
      <c r="J82" t="s">
        <v>194</v>
      </c>
      <c r="K82">
        <v>1</v>
      </c>
      <c r="L82">
        <v>602</v>
      </c>
      <c r="M82">
        <v>1237</v>
      </c>
      <c r="N82">
        <v>107</v>
      </c>
      <c r="O82">
        <v>519</v>
      </c>
      <c r="P82">
        <v>41749.67511699918</v>
      </c>
      <c r="Q82">
        <v>52330.66143031163</v>
      </c>
      <c r="R82">
        <v>1498.45370013454</v>
      </c>
      <c r="S82" t="s">
        <v>203</v>
      </c>
      <c r="T82" t="s">
        <v>204</v>
      </c>
    </row>
    <row r="83" spans="1:20">
      <c r="A83" t="s">
        <v>20</v>
      </c>
      <c r="B83" t="s">
        <v>22</v>
      </c>
      <c r="C83" t="s">
        <v>103</v>
      </c>
      <c r="D83">
        <v>54929.09693520281</v>
      </c>
      <c r="E83">
        <v>54929.09693520286</v>
      </c>
      <c r="F83" t="s">
        <v>111</v>
      </c>
      <c r="G83" t="s">
        <v>112</v>
      </c>
      <c r="H83" t="s">
        <v>113</v>
      </c>
      <c r="I83">
        <v>24.80349619656799</v>
      </c>
      <c r="J83" t="s">
        <v>195</v>
      </c>
      <c r="K83">
        <v>1</v>
      </c>
      <c r="L83">
        <v>602</v>
      </c>
      <c r="M83">
        <v>1237</v>
      </c>
      <c r="N83">
        <v>107</v>
      </c>
      <c r="O83">
        <v>519</v>
      </c>
      <c r="P83">
        <v>48208.74623241909</v>
      </c>
      <c r="Q83">
        <v>61833.08270155126</v>
      </c>
      <c r="R83">
        <v>2214.470817359696</v>
      </c>
      <c r="S83" t="s">
        <v>203</v>
      </c>
      <c r="T83" t="s">
        <v>204</v>
      </c>
    </row>
    <row r="84" spans="1:20">
      <c r="A84" t="s">
        <v>20</v>
      </c>
      <c r="B84" t="s">
        <v>22</v>
      </c>
      <c r="C84" t="s">
        <v>104</v>
      </c>
      <c r="D84">
        <v>53893.03540454822</v>
      </c>
      <c r="E84">
        <v>53893.03540454826</v>
      </c>
      <c r="F84" t="s">
        <v>111</v>
      </c>
      <c r="G84" t="s">
        <v>112</v>
      </c>
      <c r="H84" t="s">
        <v>113</v>
      </c>
      <c r="I84">
        <v>30.3854999038078</v>
      </c>
      <c r="J84" t="s">
        <v>196</v>
      </c>
      <c r="K84">
        <v>1</v>
      </c>
      <c r="L84">
        <v>602</v>
      </c>
      <c r="M84">
        <v>1237</v>
      </c>
      <c r="N84">
        <v>107</v>
      </c>
      <c r="O84">
        <v>519</v>
      </c>
      <c r="P84">
        <v>43827.86379913581</v>
      </c>
      <c r="Q84">
        <v>60203.53202014391</v>
      </c>
      <c r="R84">
        <v>2178.198565886741</v>
      </c>
      <c r="S84" t="s">
        <v>203</v>
      </c>
      <c r="T84" t="s">
        <v>204</v>
      </c>
    </row>
    <row r="85" spans="1:20">
      <c r="A85" t="s">
        <v>20</v>
      </c>
      <c r="B85" t="s">
        <v>22</v>
      </c>
      <c r="C85" t="s">
        <v>105</v>
      </c>
      <c r="D85">
        <v>46209.9522020126</v>
      </c>
      <c r="E85">
        <v>46209.95220201266</v>
      </c>
      <c r="F85" t="s">
        <v>111</v>
      </c>
      <c r="G85" t="s">
        <v>112</v>
      </c>
      <c r="H85" t="s">
        <v>113</v>
      </c>
      <c r="I85">
        <v>21.19447419673238</v>
      </c>
      <c r="J85" t="s">
        <v>197</v>
      </c>
      <c r="K85">
        <v>1</v>
      </c>
      <c r="L85">
        <v>602</v>
      </c>
      <c r="M85">
        <v>1237</v>
      </c>
      <c r="N85">
        <v>107</v>
      </c>
      <c r="O85">
        <v>519</v>
      </c>
      <c r="P85">
        <v>40759.09291149865</v>
      </c>
      <c r="Q85">
        <v>50553.04930727657</v>
      </c>
      <c r="R85">
        <v>1644.453443657851</v>
      </c>
      <c r="S85" t="s">
        <v>203</v>
      </c>
      <c r="T85" t="s">
        <v>204</v>
      </c>
    </row>
    <row r="86" spans="1:20">
      <c r="A86" t="s">
        <v>20</v>
      </c>
      <c r="B86" t="s">
        <v>22</v>
      </c>
      <c r="C86" t="s">
        <v>106</v>
      </c>
      <c r="D86">
        <v>44997.08142086818</v>
      </c>
      <c r="E86">
        <v>44997.08142086826</v>
      </c>
      <c r="F86" t="s">
        <v>111</v>
      </c>
      <c r="G86" t="s">
        <v>112</v>
      </c>
      <c r="H86" t="s">
        <v>113</v>
      </c>
      <c r="I86">
        <v>20.75280030504796</v>
      </c>
      <c r="J86" t="s">
        <v>198</v>
      </c>
      <c r="K86">
        <v>1</v>
      </c>
      <c r="L86">
        <v>602</v>
      </c>
      <c r="M86">
        <v>1237</v>
      </c>
      <c r="N86">
        <v>107</v>
      </c>
      <c r="O86">
        <v>519</v>
      </c>
      <c r="P86">
        <v>40800.73379985067</v>
      </c>
      <c r="Q86">
        <v>50138.88825022328</v>
      </c>
      <c r="R86">
        <v>1664.743666261977</v>
      </c>
      <c r="S86" t="s">
        <v>203</v>
      </c>
      <c r="T86" t="s">
        <v>204</v>
      </c>
    </row>
    <row r="87" spans="1:20">
      <c r="A87" t="s">
        <v>20</v>
      </c>
      <c r="B87" t="s">
        <v>22</v>
      </c>
      <c r="C87" t="s">
        <v>107</v>
      </c>
      <c r="D87">
        <v>56316.22121745927</v>
      </c>
      <c r="E87">
        <v>56316.22121745927</v>
      </c>
      <c r="F87" t="s">
        <v>111</v>
      </c>
      <c r="G87" t="s">
        <v>112</v>
      </c>
      <c r="H87" t="s">
        <v>113</v>
      </c>
      <c r="I87">
        <v>23.25746624717074</v>
      </c>
      <c r="J87" t="s">
        <v>199</v>
      </c>
      <c r="K87">
        <v>1</v>
      </c>
      <c r="L87">
        <v>602</v>
      </c>
      <c r="M87">
        <v>1237</v>
      </c>
      <c r="N87">
        <v>107</v>
      </c>
      <c r="O87">
        <v>519</v>
      </c>
      <c r="P87">
        <v>51365.70023180845</v>
      </c>
      <c r="Q87">
        <v>64463.42637314105</v>
      </c>
      <c r="R87">
        <v>1963.517379990101</v>
      </c>
      <c r="S87" t="s">
        <v>203</v>
      </c>
      <c r="T87" t="s">
        <v>204</v>
      </c>
    </row>
    <row r="88" spans="1:20">
      <c r="A88" t="s">
        <v>20</v>
      </c>
      <c r="B88" t="s">
        <v>22</v>
      </c>
      <c r="C88" t="s">
        <v>108</v>
      </c>
      <c r="D88">
        <v>54999.85513719379</v>
      </c>
      <c r="E88">
        <v>54999.85513719379</v>
      </c>
      <c r="F88" t="s">
        <v>111</v>
      </c>
      <c r="G88" t="s">
        <v>112</v>
      </c>
      <c r="H88" t="s">
        <v>113</v>
      </c>
      <c r="I88">
        <v>21.23793746076772</v>
      </c>
      <c r="J88" t="s">
        <v>200</v>
      </c>
      <c r="K88">
        <v>1</v>
      </c>
      <c r="L88">
        <v>602</v>
      </c>
      <c r="M88">
        <v>1237</v>
      </c>
      <c r="N88">
        <v>107</v>
      </c>
      <c r="O88">
        <v>519</v>
      </c>
      <c r="P88">
        <v>49108.54402076633</v>
      </c>
      <c r="Q88">
        <v>60789.37885831638</v>
      </c>
      <c r="R88">
        <v>2028.084648288382</v>
      </c>
      <c r="S88" t="s">
        <v>203</v>
      </c>
      <c r="T88" t="s">
        <v>204</v>
      </c>
    </row>
    <row r="89" spans="1:20">
      <c r="A89" t="s">
        <v>20</v>
      </c>
      <c r="B89" t="s">
        <v>22</v>
      </c>
      <c r="C89" t="s">
        <v>109</v>
      </c>
      <c r="D89">
        <v>46575.58141736637</v>
      </c>
      <c r="E89">
        <v>46575.58141736645</v>
      </c>
      <c r="F89" t="s">
        <v>111</v>
      </c>
      <c r="G89" t="s">
        <v>112</v>
      </c>
      <c r="H89" t="s">
        <v>113</v>
      </c>
      <c r="I89">
        <v>18.12181561347621</v>
      </c>
      <c r="J89" t="s">
        <v>201</v>
      </c>
      <c r="K89">
        <v>1</v>
      </c>
      <c r="L89">
        <v>602</v>
      </c>
      <c r="M89">
        <v>1237</v>
      </c>
      <c r="N89">
        <v>107</v>
      </c>
      <c r="O89">
        <v>519</v>
      </c>
      <c r="P89">
        <v>42591.4292483199</v>
      </c>
      <c r="Q89">
        <v>51031.77023367953</v>
      </c>
      <c r="R89">
        <v>1539.544994265575</v>
      </c>
      <c r="S89" t="s">
        <v>203</v>
      </c>
      <c r="T89" t="s">
        <v>204</v>
      </c>
    </row>
    <row r="90" spans="1:20">
      <c r="A90" t="s">
        <v>20</v>
      </c>
      <c r="B90" t="s">
        <v>22</v>
      </c>
      <c r="C90" t="s">
        <v>110</v>
      </c>
      <c r="D90">
        <v>45528.87671876731</v>
      </c>
      <c r="E90">
        <v>45528.87671876732</v>
      </c>
      <c r="F90" t="s">
        <v>111</v>
      </c>
      <c r="G90" t="s">
        <v>112</v>
      </c>
      <c r="H90" t="s">
        <v>113</v>
      </c>
      <c r="I90">
        <v>21.99093626106208</v>
      </c>
      <c r="J90" t="s">
        <v>202</v>
      </c>
      <c r="K90">
        <v>1</v>
      </c>
      <c r="L90">
        <v>602</v>
      </c>
      <c r="M90">
        <v>1237</v>
      </c>
      <c r="N90">
        <v>107</v>
      </c>
      <c r="O90">
        <v>519</v>
      </c>
      <c r="P90">
        <v>40939.84798087988</v>
      </c>
      <c r="Q90">
        <v>50952.07424048153</v>
      </c>
      <c r="R90">
        <v>1535.659916729923</v>
      </c>
      <c r="S90" t="s">
        <v>203</v>
      </c>
      <c r="T90" t="s">
        <v>204</v>
      </c>
    </row>
    <row r="91" spans="1:20">
      <c r="A91" t="s">
        <v>21</v>
      </c>
      <c r="B91" t="s">
        <v>22</v>
      </c>
      <c r="C91" t="s">
        <v>22</v>
      </c>
      <c r="D91">
        <v>57766.95294232931</v>
      </c>
      <c r="E91">
        <v>57766.95294232931</v>
      </c>
      <c r="F91" t="s">
        <v>111</v>
      </c>
      <c r="G91" t="s">
        <v>112</v>
      </c>
      <c r="H91" t="s">
        <v>113</v>
      </c>
      <c r="I91">
        <v>20.96306692463644</v>
      </c>
      <c r="J91" t="s">
        <v>114</v>
      </c>
      <c r="K91">
        <v>1</v>
      </c>
      <c r="L91">
        <v>602</v>
      </c>
      <c r="M91">
        <v>1237</v>
      </c>
      <c r="N91">
        <v>107</v>
      </c>
      <c r="O91">
        <v>519</v>
      </c>
      <c r="P91">
        <v>51112.76284032477</v>
      </c>
      <c r="Q91">
        <v>63222.4878459485</v>
      </c>
      <c r="R91">
        <v>2017.089617054796</v>
      </c>
      <c r="S91" t="s">
        <v>203</v>
      </c>
      <c r="T91" t="s">
        <v>204</v>
      </c>
    </row>
    <row r="92" spans="1:20">
      <c r="A92" t="s">
        <v>21</v>
      </c>
      <c r="B92" t="s">
        <v>22</v>
      </c>
      <c r="C92" t="s">
        <v>23</v>
      </c>
      <c r="D92">
        <v>50575.67988480013</v>
      </c>
      <c r="E92">
        <v>50575.67988480017</v>
      </c>
      <c r="F92" t="s">
        <v>111</v>
      </c>
      <c r="G92" t="s">
        <v>112</v>
      </c>
      <c r="H92" t="s">
        <v>113</v>
      </c>
      <c r="I92">
        <v>22.62807754645318</v>
      </c>
      <c r="J92" t="s">
        <v>115</v>
      </c>
      <c r="K92">
        <v>1</v>
      </c>
      <c r="L92">
        <v>602</v>
      </c>
      <c r="M92">
        <v>1237</v>
      </c>
      <c r="N92">
        <v>107</v>
      </c>
      <c r="O92">
        <v>519</v>
      </c>
      <c r="P92">
        <v>45141.77051087802</v>
      </c>
      <c r="Q92">
        <v>56586.07457485652</v>
      </c>
      <c r="R92">
        <v>1926.316456160148</v>
      </c>
      <c r="S92" t="s">
        <v>203</v>
      </c>
      <c r="T92" t="s">
        <v>204</v>
      </c>
    </row>
    <row r="93" spans="1:20">
      <c r="A93" t="s">
        <v>21</v>
      </c>
      <c r="B93" t="s">
        <v>22</v>
      </c>
      <c r="C93" t="s">
        <v>24</v>
      </c>
      <c r="D93">
        <v>54713.6429590077</v>
      </c>
      <c r="E93">
        <v>54713.64295900774</v>
      </c>
      <c r="F93" t="s">
        <v>111</v>
      </c>
      <c r="G93" t="s">
        <v>112</v>
      </c>
      <c r="H93" t="s">
        <v>113</v>
      </c>
      <c r="I93">
        <v>21.25334629685216</v>
      </c>
      <c r="J93" t="s">
        <v>116</v>
      </c>
      <c r="K93">
        <v>1</v>
      </c>
      <c r="L93">
        <v>602</v>
      </c>
      <c r="M93">
        <v>1237</v>
      </c>
      <c r="N93">
        <v>107</v>
      </c>
      <c r="O93">
        <v>519</v>
      </c>
      <c r="P93">
        <v>49681.85237823932</v>
      </c>
      <c r="Q93">
        <v>61310.33238794049</v>
      </c>
      <c r="R93">
        <v>2071.334596066502</v>
      </c>
      <c r="S93" t="s">
        <v>203</v>
      </c>
      <c r="T93" t="s">
        <v>204</v>
      </c>
    </row>
    <row r="94" spans="1:20">
      <c r="A94" t="s">
        <v>21</v>
      </c>
      <c r="B94" t="s">
        <v>22</v>
      </c>
      <c r="C94" t="s">
        <v>25</v>
      </c>
      <c r="D94">
        <v>55364.18650724212</v>
      </c>
      <c r="E94">
        <v>55364.18650724222</v>
      </c>
      <c r="F94" t="s">
        <v>111</v>
      </c>
      <c r="G94" t="s">
        <v>112</v>
      </c>
      <c r="H94" t="s">
        <v>113</v>
      </c>
      <c r="I94">
        <v>22.32916108141628</v>
      </c>
      <c r="J94" t="s">
        <v>117</v>
      </c>
      <c r="K94">
        <v>1</v>
      </c>
      <c r="L94">
        <v>602</v>
      </c>
      <c r="M94">
        <v>1237</v>
      </c>
      <c r="N94">
        <v>107</v>
      </c>
      <c r="O94">
        <v>519</v>
      </c>
      <c r="P94">
        <v>49988.92738380384</v>
      </c>
      <c r="Q94">
        <v>62351.28577042167</v>
      </c>
      <c r="R94">
        <v>2031.636035745267</v>
      </c>
      <c r="S94" t="s">
        <v>203</v>
      </c>
      <c r="T94" t="s">
        <v>204</v>
      </c>
    </row>
    <row r="95" spans="1:20">
      <c r="A95" t="s">
        <v>21</v>
      </c>
      <c r="B95" t="s">
        <v>22</v>
      </c>
      <c r="C95" t="s">
        <v>26</v>
      </c>
      <c r="D95">
        <v>47928.92263976162</v>
      </c>
      <c r="E95">
        <v>47928.92263976165</v>
      </c>
      <c r="F95" t="s">
        <v>111</v>
      </c>
      <c r="G95" t="s">
        <v>112</v>
      </c>
      <c r="H95" t="s">
        <v>113</v>
      </c>
      <c r="I95">
        <v>24.24360176423539</v>
      </c>
      <c r="J95" t="s">
        <v>118</v>
      </c>
      <c r="K95">
        <v>1</v>
      </c>
      <c r="L95">
        <v>602</v>
      </c>
      <c r="M95">
        <v>1237</v>
      </c>
      <c r="N95">
        <v>107</v>
      </c>
      <c r="O95">
        <v>519</v>
      </c>
      <c r="P95">
        <v>41909.97943276475</v>
      </c>
      <c r="Q95">
        <v>53529.67656743701</v>
      </c>
      <c r="R95">
        <v>1960.828454001767</v>
      </c>
      <c r="S95" t="s">
        <v>203</v>
      </c>
      <c r="T95" t="s">
        <v>204</v>
      </c>
    </row>
    <row r="96" spans="1:20">
      <c r="A96" t="s">
        <v>21</v>
      </c>
      <c r="B96" t="s">
        <v>22</v>
      </c>
      <c r="C96" t="s">
        <v>27</v>
      </c>
      <c r="D96">
        <v>55244.71715416152</v>
      </c>
      <c r="E96">
        <v>55244.7171541616</v>
      </c>
      <c r="F96" t="s">
        <v>111</v>
      </c>
      <c r="G96" t="s">
        <v>112</v>
      </c>
      <c r="H96" t="s">
        <v>113</v>
      </c>
      <c r="I96">
        <v>23.11132076636117</v>
      </c>
      <c r="J96" t="s">
        <v>119</v>
      </c>
      <c r="K96">
        <v>1</v>
      </c>
      <c r="L96">
        <v>602</v>
      </c>
      <c r="M96">
        <v>1237</v>
      </c>
      <c r="N96">
        <v>107</v>
      </c>
      <c r="O96">
        <v>519</v>
      </c>
      <c r="P96">
        <v>49178.0179892986</v>
      </c>
      <c r="Q96">
        <v>61945.80177726583</v>
      </c>
      <c r="R96">
        <v>2009.694939265885</v>
      </c>
      <c r="S96" t="s">
        <v>203</v>
      </c>
      <c r="T96" t="s">
        <v>204</v>
      </c>
    </row>
    <row r="97" spans="1:20">
      <c r="A97" t="s">
        <v>21</v>
      </c>
      <c r="B97" t="s">
        <v>22</v>
      </c>
      <c r="C97" t="s">
        <v>28</v>
      </c>
      <c r="D97">
        <v>54214.60810757713</v>
      </c>
      <c r="E97">
        <v>54214.6081075772</v>
      </c>
      <c r="F97" t="s">
        <v>111</v>
      </c>
      <c r="G97" t="s">
        <v>112</v>
      </c>
      <c r="H97" t="s">
        <v>113</v>
      </c>
      <c r="I97">
        <v>24.53939566442701</v>
      </c>
      <c r="J97" t="s">
        <v>120</v>
      </c>
      <c r="K97">
        <v>1</v>
      </c>
      <c r="L97">
        <v>602</v>
      </c>
      <c r="M97">
        <v>1237</v>
      </c>
      <c r="N97">
        <v>107</v>
      </c>
      <c r="O97">
        <v>519</v>
      </c>
      <c r="P97">
        <v>47626.23759741566</v>
      </c>
      <c r="Q97">
        <v>60930.17478885254</v>
      </c>
      <c r="R97">
        <v>2131.064551961049</v>
      </c>
      <c r="S97" t="s">
        <v>203</v>
      </c>
      <c r="T97" t="s">
        <v>204</v>
      </c>
    </row>
    <row r="98" spans="1:20">
      <c r="A98" t="s">
        <v>21</v>
      </c>
      <c r="B98" t="s">
        <v>22</v>
      </c>
      <c r="C98" t="s">
        <v>29</v>
      </c>
      <c r="D98">
        <v>56046.32736545944</v>
      </c>
      <c r="E98">
        <v>56046.32736545944</v>
      </c>
      <c r="F98" t="s">
        <v>111</v>
      </c>
      <c r="G98" t="s">
        <v>112</v>
      </c>
      <c r="H98" t="s">
        <v>113</v>
      </c>
      <c r="I98">
        <v>22.99511030668829</v>
      </c>
      <c r="J98" t="s">
        <v>121</v>
      </c>
      <c r="K98">
        <v>1</v>
      </c>
      <c r="L98">
        <v>602</v>
      </c>
      <c r="M98">
        <v>1237</v>
      </c>
      <c r="N98">
        <v>107</v>
      </c>
      <c r="O98">
        <v>519</v>
      </c>
      <c r="P98">
        <v>49656.63861502796</v>
      </c>
      <c r="Q98">
        <v>62544.55341556299</v>
      </c>
      <c r="R98">
        <v>2196.145998572489</v>
      </c>
      <c r="S98" t="s">
        <v>203</v>
      </c>
      <c r="T98" t="s">
        <v>204</v>
      </c>
    </row>
    <row r="99" spans="1:20">
      <c r="A99" t="s">
        <v>21</v>
      </c>
      <c r="B99" t="s">
        <v>22</v>
      </c>
      <c r="C99" t="s">
        <v>30</v>
      </c>
      <c r="D99">
        <v>49873.82691079681</v>
      </c>
      <c r="E99">
        <v>49873.82691079681</v>
      </c>
      <c r="F99" t="s">
        <v>111</v>
      </c>
      <c r="G99" t="s">
        <v>112</v>
      </c>
      <c r="H99" t="s">
        <v>113</v>
      </c>
      <c r="I99">
        <v>20.6749465591972</v>
      </c>
      <c r="J99" t="s">
        <v>122</v>
      </c>
      <c r="K99">
        <v>1</v>
      </c>
      <c r="L99">
        <v>602</v>
      </c>
      <c r="M99">
        <v>1237</v>
      </c>
      <c r="N99">
        <v>107</v>
      </c>
      <c r="O99">
        <v>519</v>
      </c>
      <c r="P99">
        <v>45278.71682154491</v>
      </c>
      <c r="Q99">
        <v>55590.10388237866</v>
      </c>
      <c r="R99">
        <v>1696.732476146175</v>
      </c>
      <c r="S99" t="s">
        <v>203</v>
      </c>
      <c r="T99" t="s">
        <v>204</v>
      </c>
    </row>
    <row r="100" spans="1:20">
      <c r="A100" t="s">
        <v>21</v>
      </c>
      <c r="B100" t="s">
        <v>22</v>
      </c>
      <c r="C100" t="s">
        <v>31</v>
      </c>
      <c r="D100">
        <v>50016.55599922134</v>
      </c>
      <c r="E100">
        <v>50016.55599922142</v>
      </c>
      <c r="F100" t="s">
        <v>111</v>
      </c>
      <c r="G100" t="s">
        <v>112</v>
      </c>
      <c r="H100" t="s">
        <v>113</v>
      </c>
      <c r="I100">
        <v>23.26107787284598</v>
      </c>
      <c r="J100" t="s">
        <v>123</v>
      </c>
      <c r="K100">
        <v>1</v>
      </c>
      <c r="L100">
        <v>602</v>
      </c>
      <c r="M100">
        <v>1237</v>
      </c>
      <c r="N100">
        <v>107</v>
      </c>
      <c r="O100">
        <v>519</v>
      </c>
      <c r="P100">
        <v>43671.68510497787</v>
      </c>
      <c r="Q100">
        <v>55306.07514527236</v>
      </c>
      <c r="R100">
        <v>1905.163066834444</v>
      </c>
      <c r="S100" t="s">
        <v>203</v>
      </c>
      <c r="T100" t="s">
        <v>204</v>
      </c>
    </row>
    <row r="101" spans="1:20">
      <c r="A101" t="s">
        <v>21</v>
      </c>
      <c r="B101" t="s">
        <v>22</v>
      </c>
      <c r="C101" t="s">
        <v>32</v>
      </c>
      <c r="D101">
        <v>48649.30971317384</v>
      </c>
      <c r="E101">
        <v>48649.30971317391</v>
      </c>
      <c r="F101" t="s">
        <v>111</v>
      </c>
      <c r="G101" t="s">
        <v>112</v>
      </c>
      <c r="H101" t="s">
        <v>113</v>
      </c>
      <c r="I101">
        <v>24.49455597902827</v>
      </c>
      <c r="J101" t="s">
        <v>124</v>
      </c>
      <c r="K101">
        <v>1</v>
      </c>
      <c r="L101">
        <v>602</v>
      </c>
      <c r="M101">
        <v>1237</v>
      </c>
      <c r="N101">
        <v>107</v>
      </c>
      <c r="O101">
        <v>519</v>
      </c>
      <c r="P101">
        <v>43094.84523469661</v>
      </c>
      <c r="Q101">
        <v>55011.27763580081</v>
      </c>
      <c r="R101">
        <v>1881.770401213906</v>
      </c>
      <c r="S101" t="s">
        <v>203</v>
      </c>
      <c r="T101" t="s">
        <v>204</v>
      </c>
    </row>
    <row r="102" spans="1:20">
      <c r="A102" t="s">
        <v>21</v>
      </c>
      <c r="B102" t="s">
        <v>22</v>
      </c>
      <c r="C102" t="s">
        <v>33</v>
      </c>
      <c r="D102">
        <v>47726.00928775298</v>
      </c>
      <c r="E102">
        <v>47726.00928775303</v>
      </c>
      <c r="F102" t="s">
        <v>111</v>
      </c>
      <c r="G102" t="s">
        <v>112</v>
      </c>
      <c r="H102" t="s">
        <v>113</v>
      </c>
      <c r="I102">
        <v>20.8269259457926</v>
      </c>
      <c r="J102" t="s">
        <v>125</v>
      </c>
      <c r="K102">
        <v>1</v>
      </c>
      <c r="L102">
        <v>602</v>
      </c>
      <c r="M102">
        <v>1237</v>
      </c>
      <c r="N102">
        <v>107</v>
      </c>
      <c r="O102">
        <v>519</v>
      </c>
      <c r="P102">
        <v>43158.37480148087</v>
      </c>
      <c r="Q102">
        <v>53098.23541272328</v>
      </c>
      <c r="R102">
        <v>1711.272531025902</v>
      </c>
      <c r="S102" t="s">
        <v>203</v>
      </c>
      <c r="T102" t="s">
        <v>204</v>
      </c>
    </row>
    <row r="103" spans="1:20">
      <c r="A103" t="s">
        <v>21</v>
      </c>
      <c r="B103" t="s">
        <v>22</v>
      </c>
      <c r="C103" t="s">
        <v>34</v>
      </c>
      <c r="D103">
        <v>48728.67954457844</v>
      </c>
      <c r="E103">
        <v>48728.67954457851</v>
      </c>
      <c r="F103" t="s">
        <v>111</v>
      </c>
      <c r="G103" t="s">
        <v>112</v>
      </c>
      <c r="H103" t="s">
        <v>113</v>
      </c>
      <c r="I103">
        <v>23.39373898861084</v>
      </c>
      <c r="J103" t="s">
        <v>126</v>
      </c>
      <c r="K103">
        <v>1</v>
      </c>
      <c r="L103">
        <v>602</v>
      </c>
      <c r="M103">
        <v>1237</v>
      </c>
      <c r="N103">
        <v>107</v>
      </c>
      <c r="O103">
        <v>519</v>
      </c>
      <c r="P103">
        <v>43232.67169213233</v>
      </c>
      <c r="Q103">
        <v>54632.13179738761</v>
      </c>
      <c r="R103">
        <v>1848.164672803193</v>
      </c>
      <c r="S103" t="s">
        <v>203</v>
      </c>
      <c r="T103" t="s">
        <v>204</v>
      </c>
    </row>
    <row r="104" spans="1:20">
      <c r="A104" t="s">
        <v>21</v>
      </c>
      <c r="B104" t="s">
        <v>22</v>
      </c>
      <c r="C104" t="s">
        <v>35</v>
      </c>
      <c r="D104">
        <v>54286.81356131809</v>
      </c>
      <c r="E104">
        <v>54286.81356131814</v>
      </c>
      <c r="F104" t="s">
        <v>111</v>
      </c>
      <c r="G104" t="s">
        <v>112</v>
      </c>
      <c r="H104" t="s">
        <v>113</v>
      </c>
      <c r="I104">
        <v>24.3907865177389</v>
      </c>
      <c r="J104" t="s">
        <v>127</v>
      </c>
      <c r="K104">
        <v>1</v>
      </c>
      <c r="L104">
        <v>602</v>
      </c>
      <c r="M104">
        <v>1237</v>
      </c>
      <c r="N104">
        <v>107</v>
      </c>
      <c r="O104">
        <v>519</v>
      </c>
      <c r="P104">
        <v>46962.91780101253</v>
      </c>
      <c r="Q104">
        <v>60203.89860403655</v>
      </c>
      <c r="R104">
        <v>2033.513584258507</v>
      </c>
      <c r="S104" t="s">
        <v>203</v>
      </c>
      <c r="T104" t="s">
        <v>204</v>
      </c>
    </row>
    <row r="105" spans="1:20">
      <c r="A105" t="s">
        <v>21</v>
      </c>
      <c r="B105" t="s">
        <v>22</v>
      </c>
      <c r="C105" t="s">
        <v>36</v>
      </c>
      <c r="D105">
        <v>54521.57900942098</v>
      </c>
      <c r="E105">
        <v>54521.57900942098</v>
      </c>
      <c r="F105" t="s">
        <v>111</v>
      </c>
      <c r="G105" t="s">
        <v>112</v>
      </c>
      <c r="H105" t="s">
        <v>113</v>
      </c>
      <c r="I105">
        <v>23.50022350003885</v>
      </c>
      <c r="J105" t="s">
        <v>128</v>
      </c>
      <c r="K105">
        <v>1</v>
      </c>
      <c r="L105">
        <v>602</v>
      </c>
      <c r="M105">
        <v>1237</v>
      </c>
      <c r="N105">
        <v>107</v>
      </c>
      <c r="O105">
        <v>519</v>
      </c>
      <c r="P105">
        <v>48597.26001252164</v>
      </c>
      <c r="Q105">
        <v>61409.95293548584</v>
      </c>
      <c r="R105">
        <v>2009.902877968416</v>
      </c>
      <c r="S105" t="s">
        <v>203</v>
      </c>
      <c r="T105" t="s">
        <v>204</v>
      </c>
    </row>
    <row r="106" spans="1:20">
      <c r="A106" t="s">
        <v>21</v>
      </c>
      <c r="B106" t="s">
        <v>22</v>
      </c>
      <c r="C106" t="s">
        <v>37</v>
      </c>
      <c r="D106">
        <v>56574.57295618897</v>
      </c>
      <c r="E106">
        <v>56574.57295618904</v>
      </c>
      <c r="F106" t="s">
        <v>111</v>
      </c>
      <c r="G106" t="s">
        <v>112</v>
      </c>
      <c r="H106" t="s">
        <v>113</v>
      </c>
      <c r="I106">
        <v>21.59388339345683</v>
      </c>
      <c r="J106" t="s">
        <v>129</v>
      </c>
      <c r="K106">
        <v>1</v>
      </c>
      <c r="L106">
        <v>602</v>
      </c>
      <c r="M106">
        <v>1237</v>
      </c>
      <c r="N106">
        <v>107</v>
      </c>
      <c r="O106">
        <v>519</v>
      </c>
      <c r="P106">
        <v>51335.86413824534</v>
      </c>
      <c r="Q106">
        <v>63552.51145275094</v>
      </c>
      <c r="R106">
        <v>2036.492847809097</v>
      </c>
      <c r="S106" t="s">
        <v>203</v>
      </c>
      <c r="T106" t="s">
        <v>204</v>
      </c>
    </row>
    <row r="107" spans="1:20">
      <c r="A107" t="s">
        <v>21</v>
      </c>
      <c r="B107" t="s">
        <v>22</v>
      </c>
      <c r="C107" t="s">
        <v>38</v>
      </c>
      <c r="D107">
        <v>48787.65659262652</v>
      </c>
      <c r="E107">
        <v>48787.65659262658</v>
      </c>
      <c r="F107" t="s">
        <v>111</v>
      </c>
      <c r="G107" t="s">
        <v>112</v>
      </c>
      <c r="H107" t="s">
        <v>113</v>
      </c>
      <c r="I107">
        <v>22.87559770256749</v>
      </c>
      <c r="J107" t="s">
        <v>130</v>
      </c>
      <c r="K107">
        <v>1</v>
      </c>
      <c r="L107">
        <v>602</v>
      </c>
      <c r="M107">
        <v>1237</v>
      </c>
      <c r="N107">
        <v>107</v>
      </c>
      <c r="O107">
        <v>519</v>
      </c>
      <c r="P107">
        <v>42924.62313179975</v>
      </c>
      <c r="Q107">
        <v>54085.09118243914</v>
      </c>
      <c r="R107">
        <v>1766.767250136188</v>
      </c>
      <c r="S107" t="s">
        <v>203</v>
      </c>
      <c r="T107" t="s">
        <v>204</v>
      </c>
    </row>
    <row r="108" spans="1:20">
      <c r="A108" t="s">
        <v>21</v>
      </c>
      <c r="B108" t="s">
        <v>22</v>
      </c>
      <c r="C108" t="s">
        <v>39</v>
      </c>
      <c r="D108">
        <v>56594.03519830188</v>
      </c>
      <c r="E108">
        <v>56594.03519830195</v>
      </c>
      <c r="F108" t="s">
        <v>111</v>
      </c>
      <c r="G108" t="s">
        <v>112</v>
      </c>
      <c r="H108" t="s">
        <v>113</v>
      </c>
      <c r="I108">
        <v>19.23310531392165</v>
      </c>
      <c r="J108" t="s">
        <v>131</v>
      </c>
      <c r="K108">
        <v>1</v>
      </c>
      <c r="L108">
        <v>602</v>
      </c>
      <c r="M108">
        <v>1237</v>
      </c>
      <c r="N108">
        <v>107</v>
      </c>
      <c r="O108">
        <v>519</v>
      </c>
      <c r="P108">
        <v>50929.06008585484</v>
      </c>
      <c r="Q108">
        <v>61813.85047694213</v>
      </c>
      <c r="R108">
        <v>2044.868215539216</v>
      </c>
      <c r="S108" t="s">
        <v>203</v>
      </c>
      <c r="T108" t="s">
        <v>204</v>
      </c>
    </row>
    <row r="109" spans="1:20">
      <c r="A109" t="s">
        <v>21</v>
      </c>
      <c r="B109" t="s">
        <v>22</v>
      </c>
      <c r="C109" t="s">
        <v>40</v>
      </c>
      <c r="D109">
        <v>55787.6049312642</v>
      </c>
      <c r="E109">
        <v>55787.60493126426</v>
      </c>
      <c r="F109" t="s">
        <v>111</v>
      </c>
      <c r="G109" t="s">
        <v>112</v>
      </c>
      <c r="H109" t="s">
        <v>113</v>
      </c>
      <c r="I109">
        <v>20.65903613490585</v>
      </c>
      <c r="J109" t="s">
        <v>132</v>
      </c>
      <c r="K109">
        <v>1</v>
      </c>
      <c r="L109">
        <v>602</v>
      </c>
      <c r="M109">
        <v>1237</v>
      </c>
      <c r="N109">
        <v>107</v>
      </c>
      <c r="O109">
        <v>519</v>
      </c>
      <c r="P109">
        <v>49284.35926336104</v>
      </c>
      <c r="Q109">
        <v>60809.54072490943</v>
      </c>
      <c r="R109">
        <v>2045.797090903781</v>
      </c>
      <c r="S109" t="s">
        <v>203</v>
      </c>
      <c r="T109" t="s">
        <v>204</v>
      </c>
    </row>
    <row r="110" spans="1:20">
      <c r="A110" t="s">
        <v>21</v>
      </c>
      <c r="B110" t="s">
        <v>22</v>
      </c>
      <c r="C110" t="s">
        <v>41</v>
      </c>
      <c r="D110">
        <v>47336.01793663365</v>
      </c>
      <c r="E110">
        <v>47336.01793663373</v>
      </c>
      <c r="F110" t="s">
        <v>111</v>
      </c>
      <c r="G110" t="s">
        <v>112</v>
      </c>
      <c r="H110" t="s">
        <v>113</v>
      </c>
      <c r="I110">
        <v>24.30360221190353</v>
      </c>
      <c r="J110" t="s">
        <v>133</v>
      </c>
      <c r="K110">
        <v>1</v>
      </c>
      <c r="L110">
        <v>602</v>
      </c>
      <c r="M110">
        <v>1237</v>
      </c>
      <c r="N110">
        <v>107</v>
      </c>
      <c r="O110">
        <v>519</v>
      </c>
      <c r="P110">
        <v>42019.89506593811</v>
      </c>
      <c r="Q110">
        <v>53524.25256821285</v>
      </c>
      <c r="R110">
        <v>1806.66709777933</v>
      </c>
      <c r="S110" t="s">
        <v>203</v>
      </c>
      <c r="T110" t="s">
        <v>204</v>
      </c>
    </row>
    <row r="111" spans="1:20">
      <c r="A111" t="s">
        <v>21</v>
      </c>
      <c r="B111" t="s">
        <v>22</v>
      </c>
      <c r="C111" t="s">
        <v>42</v>
      </c>
      <c r="D111">
        <v>50583.84647470796</v>
      </c>
      <c r="E111">
        <v>50583.84647470804</v>
      </c>
      <c r="F111" t="s">
        <v>111</v>
      </c>
      <c r="G111" t="s">
        <v>112</v>
      </c>
      <c r="H111" t="s">
        <v>113</v>
      </c>
      <c r="I111">
        <v>25.06755527221702</v>
      </c>
      <c r="J111" t="s">
        <v>134</v>
      </c>
      <c r="K111">
        <v>1</v>
      </c>
      <c r="L111">
        <v>602</v>
      </c>
      <c r="M111">
        <v>1237</v>
      </c>
      <c r="N111">
        <v>107</v>
      </c>
      <c r="O111">
        <v>519</v>
      </c>
      <c r="P111">
        <v>44218.59643337735</v>
      </c>
      <c r="Q111">
        <v>56898.73010723816</v>
      </c>
      <c r="R111">
        <v>1908.20214770005</v>
      </c>
      <c r="S111" t="s">
        <v>203</v>
      </c>
      <c r="T111" t="s">
        <v>204</v>
      </c>
    </row>
    <row r="112" spans="1:20">
      <c r="A112" t="s">
        <v>21</v>
      </c>
      <c r="B112" t="s">
        <v>22</v>
      </c>
      <c r="C112" t="s">
        <v>43</v>
      </c>
      <c r="D112">
        <v>49185.36231639946</v>
      </c>
      <c r="E112">
        <v>49185.3623163996</v>
      </c>
      <c r="F112" t="s">
        <v>111</v>
      </c>
      <c r="G112" t="s">
        <v>112</v>
      </c>
      <c r="H112" t="s">
        <v>113</v>
      </c>
      <c r="I112">
        <v>22.57892512159421</v>
      </c>
      <c r="J112" t="s">
        <v>135</v>
      </c>
      <c r="K112">
        <v>1</v>
      </c>
      <c r="L112">
        <v>602</v>
      </c>
      <c r="M112">
        <v>1237</v>
      </c>
      <c r="N112">
        <v>107</v>
      </c>
      <c r="O112">
        <v>519</v>
      </c>
      <c r="P112">
        <v>43959.91640131021</v>
      </c>
      <c r="Q112">
        <v>55065.44252951485</v>
      </c>
      <c r="R112">
        <v>1773.317435297136</v>
      </c>
      <c r="S112" t="s">
        <v>203</v>
      </c>
      <c r="T112" t="s">
        <v>204</v>
      </c>
    </row>
    <row r="113" spans="1:20">
      <c r="A113" t="s">
        <v>21</v>
      </c>
      <c r="B113" t="s">
        <v>22</v>
      </c>
      <c r="C113" t="s">
        <v>44</v>
      </c>
      <c r="D113">
        <v>47211.01709803959</v>
      </c>
      <c r="E113">
        <v>47211.01709803965</v>
      </c>
      <c r="F113" t="s">
        <v>111</v>
      </c>
      <c r="G113" t="s">
        <v>112</v>
      </c>
      <c r="H113" t="s">
        <v>113</v>
      </c>
      <c r="I113">
        <v>20.04879973460232</v>
      </c>
      <c r="J113" t="s">
        <v>136</v>
      </c>
      <c r="K113">
        <v>1</v>
      </c>
      <c r="L113">
        <v>602</v>
      </c>
      <c r="M113">
        <v>1237</v>
      </c>
      <c r="N113">
        <v>107</v>
      </c>
      <c r="O113">
        <v>519</v>
      </c>
      <c r="P113">
        <v>42680.02876658996</v>
      </c>
      <c r="Q113">
        <v>52145.27103724478</v>
      </c>
      <c r="R113">
        <v>1611.086443801925</v>
      </c>
      <c r="S113" t="s">
        <v>203</v>
      </c>
      <c r="T113" t="s">
        <v>204</v>
      </c>
    </row>
    <row r="114" spans="1:20">
      <c r="A114" t="s">
        <v>21</v>
      </c>
      <c r="B114" t="s">
        <v>22</v>
      </c>
      <c r="C114" t="s">
        <v>45</v>
      </c>
      <c r="D114">
        <v>49419.13401301817</v>
      </c>
      <c r="E114">
        <v>49419.13401301821</v>
      </c>
      <c r="F114" t="s">
        <v>111</v>
      </c>
      <c r="G114" t="s">
        <v>112</v>
      </c>
      <c r="H114" t="s">
        <v>113</v>
      </c>
      <c r="I114">
        <v>23.34187051731633</v>
      </c>
      <c r="J114" t="s">
        <v>137</v>
      </c>
      <c r="K114">
        <v>1</v>
      </c>
      <c r="L114">
        <v>602</v>
      </c>
      <c r="M114">
        <v>1237</v>
      </c>
      <c r="N114">
        <v>107</v>
      </c>
      <c r="O114">
        <v>519</v>
      </c>
      <c r="P114">
        <v>44208.15538931162</v>
      </c>
      <c r="Q114">
        <v>55743.50566140936</v>
      </c>
      <c r="R114">
        <v>1716.930121462125</v>
      </c>
      <c r="S114" t="s">
        <v>203</v>
      </c>
      <c r="T114" t="s">
        <v>204</v>
      </c>
    </row>
    <row r="115" spans="1:20">
      <c r="A115" t="s">
        <v>21</v>
      </c>
      <c r="B115" t="s">
        <v>22</v>
      </c>
      <c r="C115" t="s">
        <v>46</v>
      </c>
      <c r="D115">
        <v>55582.12795698828</v>
      </c>
      <c r="E115">
        <v>55582.12795698836</v>
      </c>
      <c r="F115" t="s">
        <v>111</v>
      </c>
      <c r="G115" t="s">
        <v>112</v>
      </c>
      <c r="H115" t="s">
        <v>113</v>
      </c>
      <c r="I115">
        <v>23.17330388515192</v>
      </c>
      <c r="J115" t="s">
        <v>138</v>
      </c>
      <c r="K115">
        <v>1</v>
      </c>
      <c r="L115">
        <v>602</v>
      </c>
      <c r="M115">
        <v>1237</v>
      </c>
      <c r="N115">
        <v>107</v>
      </c>
      <c r="O115">
        <v>519</v>
      </c>
      <c r="P115">
        <v>48885.93537693904</v>
      </c>
      <c r="Q115">
        <v>61766.15079424592</v>
      </c>
      <c r="R115">
        <v>2123.081615602739</v>
      </c>
      <c r="S115" t="s">
        <v>203</v>
      </c>
      <c r="T115" t="s">
        <v>204</v>
      </c>
    </row>
    <row r="116" spans="1:20">
      <c r="A116" t="s">
        <v>21</v>
      </c>
      <c r="B116" t="s">
        <v>22</v>
      </c>
      <c r="C116" t="s">
        <v>47</v>
      </c>
      <c r="D116">
        <v>53272.4214234344</v>
      </c>
      <c r="E116">
        <v>53272.42142343445</v>
      </c>
      <c r="F116" t="s">
        <v>111</v>
      </c>
      <c r="G116" t="s">
        <v>112</v>
      </c>
      <c r="H116" t="s">
        <v>113</v>
      </c>
      <c r="I116">
        <v>22.67848203384019</v>
      </c>
      <c r="J116" t="s">
        <v>139</v>
      </c>
      <c r="K116">
        <v>1</v>
      </c>
      <c r="L116">
        <v>602</v>
      </c>
      <c r="M116">
        <v>1237</v>
      </c>
      <c r="N116">
        <v>107</v>
      </c>
      <c r="O116">
        <v>519</v>
      </c>
      <c r="P116">
        <v>47800.20988397809</v>
      </c>
      <c r="Q116">
        <v>59881.58640548329</v>
      </c>
      <c r="R116">
        <v>2030.364266229324</v>
      </c>
      <c r="S116" t="s">
        <v>203</v>
      </c>
      <c r="T116" t="s">
        <v>204</v>
      </c>
    </row>
    <row r="117" spans="1:20">
      <c r="A117" t="s">
        <v>21</v>
      </c>
      <c r="B117" t="s">
        <v>22</v>
      </c>
      <c r="C117" t="s">
        <v>48</v>
      </c>
      <c r="D117">
        <v>54721.31186501628</v>
      </c>
      <c r="E117">
        <v>54721.31186501633</v>
      </c>
      <c r="F117" t="s">
        <v>111</v>
      </c>
      <c r="G117" t="s">
        <v>112</v>
      </c>
      <c r="H117" t="s">
        <v>113</v>
      </c>
      <c r="I117">
        <v>20.22815655148943</v>
      </c>
      <c r="J117" t="s">
        <v>140</v>
      </c>
      <c r="K117">
        <v>1</v>
      </c>
      <c r="L117">
        <v>602</v>
      </c>
      <c r="M117">
        <v>1237</v>
      </c>
      <c r="N117">
        <v>107</v>
      </c>
      <c r="O117">
        <v>519</v>
      </c>
      <c r="P117">
        <v>49337.61091551066</v>
      </c>
      <c r="Q117">
        <v>60406.72354659491</v>
      </c>
      <c r="R117">
        <v>2070.943855054843</v>
      </c>
      <c r="S117" t="s">
        <v>203</v>
      </c>
      <c r="T117" t="s">
        <v>204</v>
      </c>
    </row>
    <row r="118" spans="1:20">
      <c r="A118" t="s">
        <v>21</v>
      </c>
      <c r="B118" t="s">
        <v>22</v>
      </c>
      <c r="C118" t="s">
        <v>49</v>
      </c>
      <c r="D118">
        <v>53080.36073582432</v>
      </c>
      <c r="E118">
        <v>53080.36073582441</v>
      </c>
      <c r="F118" t="s">
        <v>111</v>
      </c>
      <c r="G118" t="s">
        <v>112</v>
      </c>
      <c r="H118" t="s">
        <v>113</v>
      </c>
      <c r="I118">
        <v>23.07507817949724</v>
      </c>
      <c r="J118" t="s">
        <v>141</v>
      </c>
      <c r="K118">
        <v>1</v>
      </c>
      <c r="L118">
        <v>602</v>
      </c>
      <c r="M118">
        <v>1237</v>
      </c>
      <c r="N118">
        <v>107</v>
      </c>
      <c r="O118">
        <v>519</v>
      </c>
      <c r="P118">
        <v>46713.51748354406</v>
      </c>
      <c r="Q118">
        <v>58961.85222129468</v>
      </c>
      <c r="R118">
        <v>1983.221699820148</v>
      </c>
      <c r="S118" t="s">
        <v>203</v>
      </c>
      <c r="T118" t="s">
        <v>204</v>
      </c>
    </row>
    <row r="119" spans="1:20">
      <c r="A119" t="s">
        <v>21</v>
      </c>
      <c r="B119" t="s">
        <v>22</v>
      </c>
      <c r="C119" t="s">
        <v>50</v>
      </c>
      <c r="D119">
        <v>51027.29549791812</v>
      </c>
      <c r="E119">
        <v>51027.29549791819</v>
      </c>
      <c r="F119" t="s">
        <v>111</v>
      </c>
      <c r="G119" t="s">
        <v>112</v>
      </c>
      <c r="H119" t="s">
        <v>113</v>
      </c>
      <c r="I119">
        <v>24.50861386498559</v>
      </c>
      <c r="J119" t="s">
        <v>142</v>
      </c>
      <c r="K119">
        <v>1</v>
      </c>
      <c r="L119">
        <v>602</v>
      </c>
      <c r="M119">
        <v>1237</v>
      </c>
      <c r="N119">
        <v>107</v>
      </c>
      <c r="O119">
        <v>519</v>
      </c>
      <c r="P119">
        <v>44899.38302190718</v>
      </c>
      <c r="Q119">
        <v>57405.46584123711</v>
      </c>
      <c r="R119">
        <v>1994.06519048402</v>
      </c>
      <c r="S119" t="s">
        <v>203</v>
      </c>
      <c r="T119" t="s">
        <v>204</v>
      </c>
    </row>
    <row r="120" spans="1:20">
      <c r="A120" t="s">
        <v>21</v>
      </c>
      <c r="B120" t="s">
        <v>22</v>
      </c>
      <c r="C120" t="s">
        <v>51</v>
      </c>
      <c r="D120">
        <v>49103.41895447139</v>
      </c>
      <c r="E120">
        <v>49103.4189544714</v>
      </c>
      <c r="F120" t="s">
        <v>111</v>
      </c>
      <c r="G120" t="s">
        <v>112</v>
      </c>
      <c r="H120" t="s">
        <v>113</v>
      </c>
      <c r="I120">
        <v>20.27181481445713</v>
      </c>
      <c r="J120" t="s">
        <v>143</v>
      </c>
      <c r="K120">
        <v>1</v>
      </c>
      <c r="L120">
        <v>602</v>
      </c>
      <c r="M120">
        <v>1237</v>
      </c>
      <c r="N120">
        <v>107</v>
      </c>
      <c r="O120">
        <v>519</v>
      </c>
      <c r="P120">
        <v>43889.78010857925</v>
      </c>
      <c r="Q120">
        <v>53843.93426659673</v>
      </c>
      <c r="R120">
        <v>1911.077845376378</v>
      </c>
      <c r="S120" t="s">
        <v>203</v>
      </c>
      <c r="T120" t="s">
        <v>204</v>
      </c>
    </row>
    <row r="121" spans="1:20">
      <c r="A121" t="s">
        <v>21</v>
      </c>
      <c r="B121" t="s">
        <v>22</v>
      </c>
      <c r="C121" t="s">
        <v>52</v>
      </c>
      <c r="D121">
        <v>56143.05931874319</v>
      </c>
      <c r="E121">
        <v>56143.05931874326</v>
      </c>
      <c r="F121" t="s">
        <v>111</v>
      </c>
      <c r="G121" t="s">
        <v>112</v>
      </c>
      <c r="H121" t="s">
        <v>113</v>
      </c>
      <c r="I121">
        <v>23.82283385031281</v>
      </c>
      <c r="J121" t="s">
        <v>144</v>
      </c>
      <c r="K121">
        <v>1</v>
      </c>
      <c r="L121">
        <v>602</v>
      </c>
      <c r="M121">
        <v>1237</v>
      </c>
      <c r="N121">
        <v>107</v>
      </c>
      <c r="O121">
        <v>519</v>
      </c>
      <c r="P121">
        <v>50274.45208208336</v>
      </c>
      <c r="Q121">
        <v>63649.31982207012</v>
      </c>
      <c r="R121">
        <v>1952.185847023115</v>
      </c>
      <c r="S121" t="s">
        <v>203</v>
      </c>
      <c r="T121" t="s">
        <v>204</v>
      </c>
    </row>
    <row r="122" spans="1:20">
      <c r="A122" t="s">
        <v>21</v>
      </c>
      <c r="B122" t="s">
        <v>22</v>
      </c>
      <c r="C122" t="s">
        <v>53</v>
      </c>
      <c r="D122">
        <v>54625.70412911535</v>
      </c>
      <c r="E122">
        <v>54625.70412911541</v>
      </c>
      <c r="F122" t="s">
        <v>111</v>
      </c>
      <c r="G122" t="s">
        <v>112</v>
      </c>
      <c r="H122" t="s">
        <v>113</v>
      </c>
      <c r="I122">
        <v>23.40261151137448</v>
      </c>
      <c r="J122" t="s">
        <v>145</v>
      </c>
      <c r="K122">
        <v>1</v>
      </c>
      <c r="L122">
        <v>602</v>
      </c>
      <c r="M122">
        <v>1237</v>
      </c>
      <c r="N122">
        <v>107</v>
      </c>
      <c r="O122">
        <v>519</v>
      </c>
      <c r="P122">
        <v>48120.19684842589</v>
      </c>
      <c r="Q122">
        <v>60904.0381711156</v>
      </c>
      <c r="R122">
        <v>2020.446051064048</v>
      </c>
      <c r="S122" t="s">
        <v>203</v>
      </c>
      <c r="T122" t="s">
        <v>204</v>
      </c>
    </row>
    <row r="123" spans="1:20">
      <c r="A123" t="s">
        <v>21</v>
      </c>
      <c r="B123" t="s">
        <v>22</v>
      </c>
      <c r="C123" t="s">
        <v>54</v>
      </c>
      <c r="D123">
        <v>51727.42890213862</v>
      </c>
      <c r="E123">
        <v>51727.42890213866</v>
      </c>
      <c r="F123" t="s">
        <v>111</v>
      </c>
      <c r="G123" t="s">
        <v>112</v>
      </c>
      <c r="H123" t="s">
        <v>113</v>
      </c>
      <c r="I123">
        <v>19.75441589939103</v>
      </c>
      <c r="J123" t="s">
        <v>146</v>
      </c>
      <c r="K123">
        <v>1</v>
      </c>
      <c r="L123">
        <v>602</v>
      </c>
      <c r="M123">
        <v>1237</v>
      </c>
      <c r="N123">
        <v>107</v>
      </c>
      <c r="O123">
        <v>519</v>
      </c>
      <c r="P123">
        <v>47054.59250275283</v>
      </c>
      <c r="Q123">
        <v>57273.04394214309</v>
      </c>
      <c r="R123">
        <v>1889.369030357644</v>
      </c>
      <c r="S123" t="s">
        <v>203</v>
      </c>
      <c r="T123" t="s">
        <v>204</v>
      </c>
    </row>
    <row r="124" spans="1:20">
      <c r="A124" t="s">
        <v>21</v>
      </c>
      <c r="B124" t="s">
        <v>22</v>
      </c>
      <c r="C124" t="s">
        <v>55</v>
      </c>
      <c r="D124">
        <v>55087.25839218749</v>
      </c>
      <c r="E124">
        <v>55087.25839218756</v>
      </c>
      <c r="F124" t="s">
        <v>111</v>
      </c>
      <c r="G124" t="s">
        <v>112</v>
      </c>
      <c r="H124" t="s">
        <v>113</v>
      </c>
      <c r="I124">
        <v>21.30876862738309</v>
      </c>
      <c r="J124" t="s">
        <v>147</v>
      </c>
      <c r="K124">
        <v>1</v>
      </c>
      <c r="L124">
        <v>602</v>
      </c>
      <c r="M124">
        <v>1237</v>
      </c>
      <c r="N124">
        <v>107</v>
      </c>
      <c r="O124">
        <v>519</v>
      </c>
      <c r="P124">
        <v>49214.76150370458</v>
      </c>
      <c r="Q124">
        <v>60953.17793766449</v>
      </c>
      <c r="R124">
        <v>2053.073617232807</v>
      </c>
      <c r="S124" t="s">
        <v>203</v>
      </c>
      <c r="T124" t="s">
        <v>204</v>
      </c>
    </row>
    <row r="125" spans="1:20">
      <c r="A125" t="s">
        <v>21</v>
      </c>
      <c r="B125" t="s">
        <v>22</v>
      </c>
      <c r="C125" t="s">
        <v>56</v>
      </c>
      <c r="D125">
        <v>50086.67129199561</v>
      </c>
      <c r="E125">
        <v>50086.67129199569</v>
      </c>
      <c r="F125" t="s">
        <v>111</v>
      </c>
      <c r="G125" t="s">
        <v>112</v>
      </c>
      <c r="H125" t="s">
        <v>113</v>
      </c>
      <c r="I125">
        <v>20.5031821978264</v>
      </c>
      <c r="J125" t="s">
        <v>148</v>
      </c>
      <c r="K125">
        <v>1</v>
      </c>
      <c r="L125">
        <v>602</v>
      </c>
      <c r="M125">
        <v>1237</v>
      </c>
      <c r="N125">
        <v>107</v>
      </c>
      <c r="O125">
        <v>519</v>
      </c>
      <c r="P125">
        <v>45253.31323057522</v>
      </c>
      <c r="Q125">
        <v>55522.67470239948</v>
      </c>
      <c r="R125">
        <v>1767.108306560876</v>
      </c>
      <c r="S125" t="s">
        <v>203</v>
      </c>
      <c r="T125" t="s">
        <v>204</v>
      </c>
    </row>
    <row r="126" spans="1:20">
      <c r="A126" t="s">
        <v>21</v>
      </c>
      <c r="B126" t="s">
        <v>22</v>
      </c>
      <c r="C126" t="s">
        <v>57</v>
      </c>
      <c r="D126">
        <v>48932.72591989357</v>
      </c>
      <c r="E126">
        <v>48932.72591989365</v>
      </c>
      <c r="F126" t="s">
        <v>111</v>
      </c>
      <c r="G126" t="s">
        <v>112</v>
      </c>
      <c r="H126" t="s">
        <v>113</v>
      </c>
      <c r="I126">
        <v>19.56592954382189</v>
      </c>
      <c r="J126" t="s">
        <v>149</v>
      </c>
      <c r="K126">
        <v>1</v>
      </c>
      <c r="L126">
        <v>602</v>
      </c>
      <c r="M126">
        <v>1237</v>
      </c>
      <c r="N126">
        <v>107</v>
      </c>
      <c r="O126">
        <v>519</v>
      </c>
      <c r="P126">
        <v>44501.90412100443</v>
      </c>
      <c r="Q126">
        <v>54076.04679836228</v>
      </c>
      <c r="R126">
        <v>1641.937834079825</v>
      </c>
      <c r="S126" t="s">
        <v>203</v>
      </c>
      <c r="T126" t="s">
        <v>204</v>
      </c>
    </row>
    <row r="127" spans="1:20">
      <c r="A127" t="s">
        <v>21</v>
      </c>
      <c r="B127" t="s">
        <v>22</v>
      </c>
      <c r="C127" t="s">
        <v>58</v>
      </c>
      <c r="D127">
        <v>55272.43022446302</v>
      </c>
      <c r="E127">
        <v>55272.43022446311</v>
      </c>
      <c r="F127" t="s">
        <v>111</v>
      </c>
      <c r="G127" t="s">
        <v>112</v>
      </c>
      <c r="H127" t="s">
        <v>113</v>
      </c>
      <c r="I127">
        <v>23.25853210125916</v>
      </c>
      <c r="J127" t="s">
        <v>150</v>
      </c>
      <c r="K127">
        <v>1</v>
      </c>
      <c r="L127">
        <v>602</v>
      </c>
      <c r="M127">
        <v>1237</v>
      </c>
      <c r="N127">
        <v>107</v>
      </c>
      <c r="O127">
        <v>519</v>
      </c>
      <c r="P127">
        <v>49262.8073989484</v>
      </c>
      <c r="Q127">
        <v>62118.3633258512</v>
      </c>
      <c r="R127">
        <v>2188.043198350429</v>
      </c>
      <c r="S127" t="s">
        <v>203</v>
      </c>
      <c r="T127" t="s">
        <v>204</v>
      </c>
    </row>
    <row r="128" spans="1:20">
      <c r="A128" t="s">
        <v>21</v>
      </c>
      <c r="B128" t="s">
        <v>22</v>
      </c>
      <c r="C128" t="s">
        <v>59</v>
      </c>
      <c r="D128">
        <v>50696.09406630202</v>
      </c>
      <c r="E128">
        <v>50696.09406630211</v>
      </c>
      <c r="F128" t="s">
        <v>111</v>
      </c>
      <c r="G128" t="s">
        <v>112</v>
      </c>
      <c r="H128" t="s">
        <v>113</v>
      </c>
      <c r="I128">
        <v>19.89941874482546</v>
      </c>
      <c r="J128" t="s">
        <v>151</v>
      </c>
      <c r="K128">
        <v>1</v>
      </c>
      <c r="L128">
        <v>602</v>
      </c>
      <c r="M128">
        <v>1237</v>
      </c>
      <c r="N128">
        <v>107</v>
      </c>
      <c r="O128">
        <v>519</v>
      </c>
      <c r="P128">
        <v>46143.80014165556</v>
      </c>
      <c r="Q128">
        <v>56232.02818717962</v>
      </c>
      <c r="R128">
        <v>1900.187116446266</v>
      </c>
      <c r="S128" t="s">
        <v>203</v>
      </c>
      <c r="T128" t="s">
        <v>204</v>
      </c>
    </row>
    <row r="129" spans="1:20">
      <c r="A129" t="s">
        <v>21</v>
      </c>
      <c r="B129" t="s">
        <v>22</v>
      </c>
      <c r="C129" t="s">
        <v>60</v>
      </c>
      <c r="D129">
        <v>54278.52751782069</v>
      </c>
      <c r="E129">
        <v>54278.52751782074</v>
      </c>
      <c r="F129" t="s">
        <v>111</v>
      </c>
      <c r="G129" t="s">
        <v>112</v>
      </c>
      <c r="H129" t="s">
        <v>113</v>
      </c>
      <c r="I129">
        <v>22.45964950810877</v>
      </c>
      <c r="J129" t="s">
        <v>152</v>
      </c>
      <c r="K129">
        <v>1</v>
      </c>
      <c r="L129">
        <v>602</v>
      </c>
      <c r="M129">
        <v>1237</v>
      </c>
      <c r="N129">
        <v>107</v>
      </c>
      <c r="O129">
        <v>519</v>
      </c>
      <c r="P129">
        <v>48235.40222365889</v>
      </c>
      <c r="Q129">
        <v>60426.16926232378</v>
      </c>
      <c r="R129">
        <v>2183.57219656861</v>
      </c>
      <c r="S129" t="s">
        <v>203</v>
      </c>
      <c r="T129" t="s">
        <v>204</v>
      </c>
    </row>
    <row r="130" spans="1:20">
      <c r="A130" t="s">
        <v>21</v>
      </c>
      <c r="B130" t="s">
        <v>22</v>
      </c>
      <c r="C130" t="s">
        <v>61</v>
      </c>
      <c r="D130">
        <v>54861.24602322243</v>
      </c>
      <c r="E130">
        <v>54861.24602322244</v>
      </c>
      <c r="F130" t="s">
        <v>111</v>
      </c>
      <c r="G130" t="s">
        <v>112</v>
      </c>
      <c r="H130" t="s">
        <v>113</v>
      </c>
      <c r="I130">
        <v>25.13562184380133</v>
      </c>
      <c r="J130" t="s">
        <v>153</v>
      </c>
      <c r="K130">
        <v>1</v>
      </c>
      <c r="L130">
        <v>602</v>
      </c>
      <c r="M130">
        <v>1237</v>
      </c>
      <c r="N130">
        <v>107</v>
      </c>
      <c r="O130">
        <v>519</v>
      </c>
      <c r="P130">
        <v>48184.66569793008</v>
      </c>
      <c r="Q130">
        <v>61974.38103712477</v>
      </c>
      <c r="R130">
        <v>2031.85456366512</v>
      </c>
      <c r="S130" t="s">
        <v>203</v>
      </c>
      <c r="T130" t="s">
        <v>204</v>
      </c>
    </row>
    <row r="131" spans="1:20">
      <c r="A131" t="s">
        <v>21</v>
      </c>
      <c r="B131" t="s">
        <v>22</v>
      </c>
      <c r="C131" t="s">
        <v>62</v>
      </c>
      <c r="D131">
        <v>49987.61844229611</v>
      </c>
      <c r="E131">
        <v>49987.6184422962</v>
      </c>
      <c r="F131" t="s">
        <v>111</v>
      </c>
      <c r="G131" t="s">
        <v>112</v>
      </c>
      <c r="H131" t="s">
        <v>113</v>
      </c>
      <c r="I131">
        <v>21.88424629219738</v>
      </c>
      <c r="J131" t="s">
        <v>154</v>
      </c>
      <c r="K131">
        <v>1</v>
      </c>
      <c r="L131">
        <v>602</v>
      </c>
      <c r="M131">
        <v>1237</v>
      </c>
      <c r="N131">
        <v>107</v>
      </c>
      <c r="O131">
        <v>519</v>
      </c>
      <c r="P131">
        <v>44947.34451983685</v>
      </c>
      <c r="Q131">
        <v>55886.75805535281</v>
      </c>
      <c r="R131">
        <v>1968.775668714427</v>
      </c>
      <c r="S131" t="s">
        <v>203</v>
      </c>
      <c r="T131" t="s">
        <v>204</v>
      </c>
    </row>
    <row r="132" spans="1:20">
      <c r="A132" t="s">
        <v>21</v>
      </c>
      <c r="B132" t="s">
        <v>22</v>
      </c>
      <c r="C132" t="s">
        <v>63</v>
      </c>
      <c r="D132">
        <v>48467.51640021183</v>
      </c>
      <c r="E132">
        <v>48467.51640021191</v>
      </c>
      <c r="F132" t="s">
        <v>111</v>
      </c>
      <c r="G132" t="s">
        <v>112</v>
      </c>
      <c r="H132" t="s">
        <v>113</v>
      </c>
      <c r="I132">
        <v>23.01350856594825</v>
      </c>
      <c r="J132" t="s">
        <v>155</v>
      </c>
      <c r="K132">
        <v>1</v>
      </c>
      <c r="L132">
        <v>602</v>
      </c>
      <c r="M132">
        <v>1237</v>
      </c>
      <c r="N132">
        <v>107</v>
      </c>
      <c r="O132">
        <v>519</v>
      </c>
      <c r="P132">
        <v>43134.86706655152</v>
      </c>
      <c r="Q132">
        <v>54288.94310501664</v>
      </c>
      <c r="R132">
        <v>1955.404734053333</v>
      </c>
      <c r="S132" t="s">
        <v>203</v>
      </c>
      <c r="T132" t="s">
        <v>204</v>
      </c>
    </row>
    <row r="133" spans="1:20">
      <c r="A133" t="s">
        <v>21</v>
      </c>
      <c r="B133" t="s">
        <v>22</v>
      </c>
      <c r="C133" t="s">
        <v>64</v>
      </c>
      <c r="D133">
        <v>48405.27171580413</v>
      </c>
      <c r="E133">
        <v>48405.27171580421</v>
      </c>
      <c r="F133" t="s">
        <v>111</v>
      </c>
      <c r="G133" t="s">
        <v>112</v>
      </c>
      <c r="H133" t="s">
        <v>113</v>
      </c>
      <c r="I133">
        <v>24.62493618827938</v>
      </c>
      <c r="J133" t="s">
        <v>156</v>
      </c>
      <c r="K133">
        <v>1</v>
      </c>
      <c r="L133">
        <v>602</v>
      </c>
      <c r="M133">
        <v>1237</v>
      </c>
      <c r="N133">
        <v>107</v>
      </c>
      <c r="O133">
        <v>519</v>
      </c>
      <c r="P133">
        <v>43002.0582647389</v>
      </c>
      <c r="Q133">
        <v>54921.82553651892</v>
      </c>
      <c r="R133">
        <v>1972.678670250655</v>
      </c>
      <c r="S133" t="s">
        <v>203</v>
      </c>
      <c r="T133" t="s">
        <v>204</v>
      </c>
    </row>
    <row r="134" spans="1:20">
      <c r="A134" t="s">
        <v>21</v>
      </c>
      <c r="B134" t="s">
        <v>22</v>
      </c>
      <c r="C134" t="s">
        <v>65</v>
      </c>
      <c r="D134">
        <v>54196.36531285418</v>
      </c>
      <c r="E134">
        <v>54196.36531285424</v>
      </c>
      <c r="F134" t="s">
        <v>111</v>
      </c>
      <c r="G134" t="s">
        <v>112</v>
      </c>
      <c r="H134" t="s">
        <v>113</v>
      </c>
      <c r="I134">
        <v>28.7170283939832</v>
      </c>
      <c r="J134" t="s">
        <v>157</v>
      </c>
      <c r="K134">
        <v>1</v>
      </c>
      <c r="L134">
        <v>602</v>
      </c>
      <c r="M134">
        <v>1237</v>
      </c>
      <c r="N134">
        <v>107</v>
      </c>
      <c r="O134">
        <v>519</v>
      </c>
      <c r="P134">
        <v>47049.55820733931</v>
      </c>
      <c r="Q134">
        <v>62613.14382273851</v>
      </c>
      <c r="R134">
        <v>2125.693794358358</v>
      </c>
      <c r="S134" t="s">
        <v>203</v>
      </c>
      <c r="T134" t="s">
        <v>204</v>
      </c>
    </row>
    <row r="135" spans="1:20">
      <c r="A135" t="s">
        <v>21</v>
      </c>
      <c r="B135" t="s">
        <v>22</v>
      </c>
      <c r="C135" t="s">
        <v>66</v>
      </c>
      <c r="D135">
        <v>56651.46456316811</v>
      </c>
      <c r="E135">
        <v>56651.46456316817</v>
      </c>
      <c r="F135" t="s">
        <v>111</v>
      </c>
      <c r="G135" t="s">
        <v>112</v>
      </c>
      <c r="H135" t="s">
        <v>113</v>
      </c>
      <c r="I135">
        <v>26.66302251223418</v>
      </c>
      <c r="J135" t="s">
        <v>158</v>
      </c>
      <c r="K135">
        <v>1</v>
      </c>
      <c r="L135">
        <v>602</v>
      </c>
      <c r="M135">
        <v>1237</v>
      </c>
      <c r="N135">
        <v>107</v>
      </c>
      <c r="O135">
        <v>519</v>
      </c>
      <c r="P135">
        <v>48323.49172183847</v>
      </c>
      <c r="Q135">
        <v>63428.48447182635</v>
      </c>
      <c r="R135">
        <v>1965.703867838519</v>
      </c>
      <c r="S135" t="s">
        <v>203</v>
      </c>
      <c r="T135" t="s">
        <v>204</v>
      </c>
    </row>
    <row r="136" spans="1:20">
      <c r="A136" t="s">
        <v>21</v>
      </c>
      <c r="B136" t="s">
        <v>22</v>
      </c>
      <c r="C136" t="s">
        <v>67</v>
      </c>
      <c r="D136">
        <v>56567.22650311657</v>
      </c>
      <c r="E136">
        <v>56567.2265031166</v>
      </c>
      <c r="F136" t="s">
        <v>111</v>
      </c>
      <c r="G136" t="s">
        <v>112</v>
      </c>
      <c r="H136" t="s">
        <v>113</v>
      </c>
      <c r="I136">
        <v>22.60329128262012</v>
      </c>
      <c r="J136" t="s">
        <v>159</v>
      </c>
      <c r="K136">
        <v>1</v>
      </c>
      <c r="L136">
        <v>602</v>
      </c>
      <c r="M136">
        <v>1237</v>
      </c>
      <c r="N136">
        <v>107</v>
      </c>
      <c r="O136">
        <v>519</v>
      </c>
      <c r="P136">
        <v>50254.34762488701</v>
      </c>
      <c r="Q136">
        <v>63040.40260188593</v>
      </c>
      <c r="R136">
        <v>2018.909732196811</v>
      </c>
      <c r="S136" t="s">
        <v>203</v>
      </c>
      <c r="T136" t="s">
        <v>204</v>
      </c>
    </row>
    <row r="137" spans="1:20">
      <c r="A137" t="s">
        <v>21</v>
      </c>
      <c r="B137" t="s">
        <v>22</v>
      </c>
      <c r="C137" t="s">
        <v>68</v>
      </c>
      <c r="D137">
        <v>55534.79258292375</v>
      </c>
      <c r="E137">
        <v>55534.79258292382</v>
      </c>
      <c r="F137" t="s">
        <v>111</v>
      </c>
      <c r="G137" t="s">
        <v>112</v>
      </c>
      <c r="H137" t="s">
        <v>113</v>
      </c>
      <c r="I137">
        <v>23.56670755378192</v>
      </c>
      <c r="J137" t="s">
        <v>160</v>
      </c>
      <c r="K137">
        <v>1</v>
      </c>
      <c r="L137">
        <v>602</v>
      </c>
      <c r="M137">
        <v>1237</v>
      </c>
      <c r="N137">
        <v>107</v>
      </c>
      <c r="O137">
        <v>519</v>
      </c>
      <c r="P137">
        <v>48689.70803241973</v>
      </c>
      <c r="Q137">
        <v>61777.43019103674</v>
      </c>
      <c r="R137">
        <v>2193.40102181206</v>
      </c>
      <c r="S137" t="s">
        <v>203</v>
      </c>
      <c r="T137" t="s">
        <v>204</v>
      </c>
    </row>
    <row r="138" spans="1:20">
      <c r="A138" t="s">
        <v>21</v>
      </c>
      <c r="B138" t="s">
        <v>22</v>
      </c>
      <c r="C138" t="s">
        <v>69</v>
      </c>
      <c r="D138">
        <v>47202.22293875665</v>
      </c>
      <c r="E138">
        <v>47202.22293875672</v>
      </c>
      <c r="F138" t="s">
        <v>111</v>
      </c>
      <c r="G138" t="s">
        <v>112</v>
      </c>
      <c r="H138" t="s">
        <v>113</v>
      </c>
      <c r="I138">
        <v>25.32622506084817</v>
      </c>
      <c r="J138" t="s">
        <v>161</v>
      </c>
      <c r="K138">
        <v>1</v>
      </c>
      <c r="L138">
        <v>602</v>
      </c>
      <c r="M138">
        <v>1237</v>
      </c>
      <c r="N138">
        <v>107</v>
      </c>
      <c r="O138">
        <v>519</v>
      </c>
      <c r="P138">
        <v>41958.24248986977</v>
      </c>
      <c r="Q138">
        <v>53912.78370506258</v>
      </c>
      <c r="R138">
        <v>1884.450910138852</v>
      </c>
      <c r="S138" t="s">
        <v>203</v>
      </c>
      <c r="T138" t="s">
        <v>204</v>
      </c>
    </row>
    <row r="139" spans="1:20">
      <c r="A139" t="s">
        <v>21</v>
      </c>
      <c r="B139" t="s">
        <v>22</v>
      </c>
      <c r="C139" t="s">
        <v>70</v>
      </c>
      <c r="D139">
        <v>50322.3570144279</v>
      </c>
      <c r="E139">
        <v>50322.35701442797</v>
      </c>
      <c r="F139" t="s">
        <v>111</v>
      </c>
      <c r="G139" t="s">
        <v>112</v>
      </c>
      <c r="H139" t="s">
        <v>113</v>
      </c>
      <c r="I139">
        <v>24.0518939896365</v>
      </c>
      <c r="J139" t="s">
        <v>162</v>
      </c>
      <c r="K139">
        <v>1</v>
      </c>
      <c r="L139">
        <v>602</v>
      </c>
      <c r="M139">
        <v>1237</v>
      </c>
      <c r="N139">
        <v>107</v>
      </c>
      <c r="O139">
        <v>519</v>
      </c>
      <c r="P139">
        <v>45367.67268310227</v>
      </c>
      <c r="Q139">
        <v>57471.15264529888</v>
      </c>
      <c r="R139">
        <v>1835.771699055887</v>
      </c>
      <c r="S139" t="s">
        <v>203</v>
      </c>
      <c r="T139" t="s">
        <v>204</v>
      </c>
    </row>
    <row r="140" spans="1:20">
      <c r="A140" t="s">
        <v>21</v>
      </c>
      <c r="B140" t="s">
        <v>22</v>
      </c>
      <c r="C140" t="s">
        <v>71</v>
      </c>
      <c r="D140">
        <v>49015.88144522082</v>
      </c>
      <c r="E140">
        <v>49015.88144522093</v>
      </c>
      <c r="F140" t="s">
        <v>111</v>
      </c>
      <c r="G140" t="s">
        <v>112</v>
      </c>
      <c r="H140" t="s">
        <v>113</v>
      </c>
      <c r="I140">
        <v>20.89574385498158</v>
      </c>
      <c r="J140" t="s">
        <v>163</v>
      </c>
      <c r="K140">
        <v>1</v>
      </c>
      <c r="L140">
        <v>602</v>
      </c>
      <c r="M140">
        <v>1237</v>
      </c>
      <c r="N140">
        <v>107</v>
      </c>
      <c r="O140">
        <v>519</v>
      </c>
      <c r="P140">
        <v>44238.94015363532</v>
      </c>
      <c r="Q140">
        <v>54481.1731886901</v>
      </c>
      <c r="R140">
        <v>1785.330147036989</v>
      </c>
      <c r="S140" t="s">
        <v>203</v>
      </c>
      <c r="T140" t="s">
        <v>204</v>
      </c>
    </row>
    <row r="141" spans="1:20">
      <c r="A141" t="s">
        <v>21</v>
      </c>
      <c r="B141" t="s">
        <v>22</v>
      </c>
      <c r="C141" t="s">
        <v>72</v>
      </c>
      <c r="D141">
        <v>49192.3528992251</v>
      </c>
      <c r="E141">
        <v>49192.35289922517</v>
      </c>
      <c r="F141" t="s">
        <v>111</v>
      </c>
      <c r="G141" t="s">
        <v>112</v>
      </c>
      <c r="H141" t="s">
        <v>113</v>
      </c>
      <c r="I141">
        <v>24.69482289999125</v>
      </c>
      <c r="J141" t="s">
        <v>164</v>
      </c>
      <c r="K141">
        <v>1</v>
      </c>
      <c r="L141">
        <v>602</v>
      </c>
      <c r="M141">
        <v>1237</v>
      </c>
      <c r="N141">
        <v>107</v>
      </c>
      <c r="O141">
        <v>519</v>
      </c>
      <c r="P141">
        <v>43149.87777609852</v>
      </c>
      <c r="Q141">
        <v>55297.84220490087</v>
      </c>
      <c r="R141">
        <v>1788.142251766012</v>
      </c>
      <c r="S141" t="s">
        <v>203</v>
      </c>
      <c r="T141" t="s">
        <v>204</v>
      </c>
    </row>
    <row r="142" spans="1:20">
      <c r="A142" t="s">
        <v>21</v>
      </c>
      <c r="B142" t="s">
        <v>22</v>
      </c>
      <c r="C142" t="s">
        <v>73</v>
      </c>
      <c r="D142">
        <v>55667.26619292532</v>
      </c>
      <c r="E142">
        <v>55667.26619292536</v>
      </c>
      <c r="F142" t="s">
        <v>111</v>
      </c>
      <c r="G142" t="s">
        <v>112</v>
      </c>
      <c r="H142" t="s">
        <v>113</v>
      </c>
      <c r="I142">
        <v>20.64071837167706</v>
      </c>
      <c r="J142" t="s">
        <v>165</v>
      </c>
      <c r="K142">
        <v>1</v>
      </c>
      <c r="L142">
        <v>602</v>
      </c>
      <c r="M142">
        <v>1237</v>
      </c>
      <c r="N142">
        <v>107</v>
      </c>
      <c r="O142">
        <v>519</v>
      </c>
      <c r="P142">
        <v>50340.26313792305</v>
      </c>
      <c r="Q142">
        <v>61830.38677801656</v>
      </c>
      <c r="R142">
        <v>1985.934724249593</v>
      </c>
      <c r="S142" t="s">
        <v>203</v>
      </c>
      <c r="T142" t="s">
        <v>204</v>
      </c>
    </row>
    <row r="143" spans="1:20">
      <c r="A143" t="s">
        <v>21</v>
      </c>
      <c r="B143" t="s">
        <v>22</v>
      </c>
      <c r="C143" t="s">
        <v>74</v>
      </c>
      <c r="D143">
        <v>54760.6520939913</v>
      </c>
      <c r="E143">
        <v>54760.65209399137</v>
      </c>
      <c r="F143" t="s">
        <v>111</v>
      </c>
      <c r="G143" t="s">
        <v>112</v>
      </c>
      <c r="H143" t="s">
        <v>113</v>
      </c>
      <c r="I143">
        <v>21.26503828782635</v>
      </c>
      <c r="J143" t="s">
        <v>166</v>
      </c>
      <c r="K143">
        <v>1</v>
      </c>
      <c r="L143">
        <v>602</v>
      </c>
      <c r="M143">
        <v>1237</v>
      </c>
      <c r="N143">
        <v>107</v>
      </c>
      <c r="O143">
        <v>519</v>
      </c>
      <c r="P143">
        <v>48881.50777171733</v>
      </c>
      <c r="Q143">
        <v>60526.38140616797</v>
      </c>
      <c r="R143">
        <v>2056.216708750362</v>
      </c>
      <c r="S143" t="s">
        <v>203</v>
      </c>
      <c r="T143" t="s">
        <v>204</v>
      </c>
    </row>
    <row r="144" spans="1:20">
      <c r="A144" t="s">
        <v>21</v>
      </c>
      <c r="B144" t="s">
        <v>22</v>
      </c>
      <c r="C144" t="s">
        <v>75</v>
      </c>
      <c r="D144">
        <v>54476.72651643628</v>
      </c>
      <c r="E144">
        <v>54476.72651643632</v>
      </c>
      <c r="F144" t="s">
        <v>111</v>
      </c>
      <c r="G144" t="s">
        <v>112</v>
      </c>
      <c r="H144" t="s">
        <v>113</v>
      </c>
      <c r="I144">
        <v>21.27218137997725</v>
      </c>
      <c r="J144" t="s">
        <v>167</v>
      </c>
      <c r="K144">
        <v>1</v>
      </c>
      <c r="L144">
        <v>602</v>
      </c>
      <c r="M144">
        <v>1237</v>
      </c>
      <c r="N144">
        <v>107</v>
      </c>
      <c r="O144">
        <v>519</v>
      </c>
      <c r="P144">
        <v>48587.56420996014</v>
      </c>
      <c r="Q144">
        <v>60175.95228441063</v>
      </c>
      <c r="R144">
        <v>2032.249922966721</v>
      </c>
      <c r="S144" t="s">
        <v>203</v>
      </c>
      <c r="T144" t="s">
        <v>204</v>
      </c>
    </row>
    <row r="145" spans="1:20">
      <c r="A145" t="s">
        <v>21</v>
      </c>
      <c r="B145" t="s">
        <v>22</v>
      </c>
      <c r="C145" t="s">
        <v>76</v>
      </c>
      <c r="D145">
        <v>53299.42069805791</v>
      </c>
      <c r="E145">
        <v>53299.42069805802</v>
      </c>
      <c r="F145" t="s">
        <v>111</v>
      </c>
      <c r="G145" t="s">
        <v>112</v>
      </c>
      <c r="H145" t="s">
        <v>113</v>
      </c>
      <c r="I145">
        <v>24.21922694697037</v>
      </c>
      <c r="J145" t="s">
        <v>168</v>
      </c>
      <c r="K145">
        <v>1</v>
      </c>
      <c r="L145">
        <v>602</v>
      </c>
      <c r="M145">
        <v>1237</v>
      </c>
      <c r="N145">
        <v>107</v>
      </c>
      <c r="O145">
        <v>519</v>
      </c>
      <c r="P145">
        <v>47560.61974233286</v>
      </c>
      <c r="Q145">
        <v>60469.32740261601</v>
      </c>
      <c r="R145">
        <v>2130.689285882821</v>
      </c>
      <c r="S145" t="s">
        <v>203</v>
      </c>
      <c r="T145" t="s">
        <v>204</v>
      </c>
    </row>
    <row r="146" spans="1:20">
      <c r="A146" t="s">
        <v>21</v>
      </c>
      <c r="B146" t="s">
        <v>22</v>
      </c>
      <c r="C146" t="s">
        <v>77</v>
      </c>
      <c r="D146">
        <v>47638.32927946207</v>
      </c>
      <c r="E146">
        <v>47638.32927946217</v>
      </c>
      <c r="F146" t="s">
        <v>111</v>
      </c>
      <c r="G146" t="s">
        <v>112</v>
      </c>
      <c r="H146" t="s">
        <v>113</v>
      </c>
      <c r="I146">
        <v>19.862656920782</v>
      </c>
      <c r="J146" t="s">
        <v>169</v>
      </c>
      <c r="K146">
        <v>1</v>
      </c>
      <c r="L146">
        <v>602</v>
      </c>
      <c r="M146">
        <v>1237</v>
      </c>
      <c r="N146">
        <v>107</v>
      </c>
      <c r="O146">
        <v>519</v>
      </c>
      <c r="P146">
        <v>43028.17926273056</v>
      </c>
      <c r="Q146">
        <v>52490.41717030254</v>
      </c>
      <c r="R146">
        <v>1694.152316522938</v>
      </c>
      <c r="S146" t="s">
        <v>203</v>
      </c>
      <c r="T146" t="s">
        <v>204</v>
      </c>
    </row>
    <row r="147" spans="1:20">
      <c r="A147" t="s">
        <v>21</v>
      </c>
      <c r="B147" t="s">
        <v>22</v>
      </c>
      <c r="C147" t="s">
        <v>78</v>
      </c>
      <c r="D147">
        <v>51019.29346685934</v>
      </c>
      <c r="E147">
        <v>51019.29346685941</v>
      </c>
      <c r="F147" t="s">
        <v>111</v>
      </c>
      <c r="G147" t="s">
        <v>112</v>
      </c>
      <c r="H147" t="s">
        <v>113</v>
      </c>
      <c r="I147">
        <v>23.3541906130446</v>
      </c>
      <c r="J147" t="s">
        <v>170</v>
      </c>
      <c r="K147">
        <v>1</v>
      </c>
      <c r="L147">
        <v>602</v>
      </c>
      <c r="M147">
        <v>1237</v>
      </c>
      <c r="N147">
        <v>107</v>
      </c>
      <c r="O147">
        <v>519</v>
      </c>
      <c r="P147">
        <v>45120.64897576543</v>
      </c>
      <c r="Q147">
        <v>57035.79202144437</v>
      </c>
      <c r="R147">
        <v>1999.386295892445</v>
      </c>
      <c r="S147" t="s">
        <v>203</v>
      </c>
      <c r="T147" t="s">
        <v>204</v>
      </c>
    </row>
    <row r="148" spans="1:20">
      <c r="A148" t="s">
        <v>21</v>
      </c>
      <c r="B148" t="s">
        <v>22</v>
      </c>
      <c r="C148" t="s">
        <v>79</v>
      </c>
      <c r="D148">
        <v>49745.53296389682</v>
      </c>
      <c r="E148">
        <v>49745.53296389691</v>
      </c>
      <c r="F148" t="s">
        <v>111</v>
      </c>
      <c r="G148" t="s">
        <v>112</v>
      </c>
      <c r="H148" t="s">
        <v>113</v>
      </c>
      <c r="I148">
        <v>25.33831448830048</v>
      </c>
      <c r="J148" t="s">
        <v>171</v>
      </c>
      <c r="K148">
        <v>1</v>
      </c>
      <c r="L148">
        <v>602</v>
      </c>
      <c r="M148">
        <v>1237</v>
      </c>
      <c r="N148">
        <v>107</v>
      </c>
      <c r="O148">
        <v>519</v>
      </c>
      <c r="P148">
        <v>43921.90477876888</v>
      </c>
      <c r="Q148">
        <v>56526.58436504224</v>
      </c>
      <c r="R148">
        <v>1912.789371928912</v>
      </c>
      <c r="S148" t="s">
        <v>203</v>
      </c>
      <c r="T148" t="s">
        <v>204</v>
      </c>
    </row>
    <row r="149" spans="1:20">
      <c r="A149" t="s">
        <v>21</v>
      </c>
      <c r="B149" t="s">
        <v>22</v>
      </c>
      <c r="C149" t="s">
        <v>80</v>
      </c>
      <c r="D149">
        <v>49005.9487325381</v>
      </c>
      <c r="E149">
        <v>49005.94873253814</v>
      </c>
      <c r="F149" t="s">
        <v>111</v>
      </c>
      <c r="G149" t="s">
        <v>112</v>
      </c>
      <c r="H149" t="s">
        <v>113</v>
      </c>
      <c r="I149">
        <v>29.0974604205368</v>
      </c>
      <c r="J149" t="s">
        <v>172</v>
      </c>
      <c r="K149">
        <v>1</v>
      </c>
      <c r="L149">
        <v>602</v>
      </c>
      <c r="M149">
        <v>1237</v>
      </c>
      <c r="N149">
        <v>107</v>
      </c>
      <c r="O149">
        <v>519</v>
      </c>
      <c r="P149">
        <v>41185.14259552551</v>
      </c>
      <c r="Q149">
        <v>55444.62913168434</v>
      </c>
      <c r="R149">
        <v>1922.8031912713</v>
      </c>
      <c r="S149" t="s">
        <v>203</v>
      </c>
      <c r="T149" t="s">
        <v>204</v>
      </c>
    </row>
    <row r="150" spans="1:20">
      <c r="A150" t="s">
        <v>21</v>
      </c>
      <c r="B150" t="s">
        <v>22</v>
      </c>
      <c r="C150" t="s">
        <v>81</v>
      </c>
      <c r="D150">
        <v>53203.30869429016</v>
      </c>
      <c r="E150">
        <v>53203.30869429019</v>
      </c>
      <c r="F150" t="s">
        <v>111</v>
      </c>
      <c r="G150" t="s">
        <v>112</v>
      </c>
      <c r="H150" t="s">
        <v>113</v>
      </c>
      <c r="I150">
        <v>23.8524542161248</v>
      </c>
      <c r="J150" t="s">
        <v>173</v>
      </c>
      <c r="K150">
        <v>1</v>
      </c>
      <c r="L150">
        <v>602</v>
      </c>
      <c r="M150">
        <v>1237</v>
      </c>
      <c r="N150">
        <v>107</v>
      </c>
      <c r="O150">
        <v>519</v>
      </c>
      <c r="P150">
        <v>47274.73659244095</v>
      </c>
      <c r="Q150">
        <v>59965.03144021005</v>
      </c>
      <c r="R150">
        <v>2201.923563345756</v>
      </c>
      <c r="S150" t="s">
        <v>203</v>
      </c>
      <c r="T150" t="s">
        <v>204</v>
      </c>
    </row>
    <row r="151" spans="1:20">
      <c r="A151" t="s">
        <v>21</v>
      </c>
      <c r="B151" t="s">
        <v>22</v>
      </c>
      <c r="C151" t="s">
        <v>82</v>
      </c>
      <c r="D151">
        <v>56080.05522019221</v>
      </c>
      <c r="E151">
        <v>56080.05522019228</v>
      </c>
      <c r="F151" t="s">
        <v>111</v>
      </c>
      <c r="G151" t="s">
        <v>112</v>
      </c>
      <c r="H151" t="s">
        <v>113</v>
      </c>
      <c r="I151">
        <v>27.94299833287243</v>
      </c>
      <c r="J151" t="s">
        <v>174</v>
      </c>
      <c r="K151">
        <v>1</v>
      </c>
      <c r="L151">
        <v>602</v>
      </c>
      <c r="M151">
        <v>1237</v>
      </c>
      <c r="N151">
        <v>107</v>
      </c>
      <c r="O151">
        <v>519</v>
      </c>
      <c r="P151">
        <v>49826.62591474126</v>
      </c>
      <c r="Q151">
        <v>65497.07480999351</v>
      </c>
      <c r="R151">
        <v>2057.674567908384</v>
      </c>
      <c r="S151" t="s">
        <v>203</v>
      </c>
      <c r="T151" t="s">
        <v>204</v>
      </c>
    </row>
    <row r="152" spans="1:20">
      <c r="A152" t="s">
        <v>21</v>
      </c>
      <c r="B152" t="s">
        <v>22</v>
      </c>
      <c r="C152" t="s">
        <v>83</v>
      </c>
      <c r="D152">
        <v>54611.33491210712</v>
      </c>
      <c r="E152">
        <v>54611.33491210712</v>
      </c>
      <c r="F152" t="s">
        <v>111</v>
      </c>
      <c r="G152" t="s">
        <v>112</v>
      </c>
      <c r="H152" t="s">
        <v>113</v>
      </c>
      <c r="I152">
        <v>25.10524728492664</v>
      </c>
      <c r="J152" t="s">
        <v>175</v>
      </c>
      <c r="K152">
        <v>1</v>
      </c>
      <c r="L152">
        <v>602</v>
      </c>
      <c r="M152">
        <v>1237</v>
      </c>
      <c r="N152">
        <v>107</v>
      </c>
      <c r="O152">
        <v>519</v>
      </c>
      <c r="P152">
        <v>47804.88293015715</v>
      </c>
      <c r="Q152">
        <v>61515.19360544111</v>
      </c>
      <c r="R152">
        <v>2216.475119142035</v>
      </c>
      <c r="S152" t="s">
        <v>203</v>
      </c>
      <c r="T152" t="s">
        <v>204</v>
      </c>
    </row>
    <row r="153" spans="1:20">
      <c r="A153" t="s">
        <v>21</v>
      </c>
      <c r="B153" t="s">
        <v>22</v>
      </c>
      <c r="C153" t="s">
        <v>84</v>
      </c>
      <c r="D153">
        <v>51659.30524713283</v>
      </c>
      <c r="E153">
        <v>51659.3052471329</v>
      </c>
      <c r="F153" t="s">
        <v>111</v>
      </c>
      <c r="G153" t="s">
        <v>112</v>
      </c>
      <c r="H153" t="s">
        <v>113</v>
      </c>
      <c r="I153">
        <v>25.51397439463366</v>
      </c>
      <c r="J153" t="s">
        <v>176</v>
      </c>
      <c r="K153">
        <v>1</v>
      </c>
      <c r="L153">
        <v>602</v>
      </c>
      <c r="M153">
        <v>1237</v>
      </c>
      <c r="N153">
        <v>107</v>
      </c>
      <c r="O153">
        <v>519</v>
      </c>
      <c r="P153">
        <v>43800.91696903615</v>
      </c>
      <c r="Q153">
        <v>56981.25888223526</v>
      </c>
      <c r="R153">
        <v>1900.225389938845</v>
      </c>
      <c r="S153" t="s">
        <v>203</v>
      </c>
      <c r="T153" t="s">
        <v>204</v>
      </c>
    </row>
    <row r="154" spans="1:20">
      <c r="A154" t="s">
        <v>21</v>
      </c>
      <c r="B154" t="s">
        <v>22</v>
      </c>
      <c r="C154" t="s">
        <v>85</v>
      </c>
      <c r="D154">
        <v>47923.51033439743</v>
      </c>
      <c r="E154">
        <v>47923.51033439751</v>
      </c>
      <c r="F154" t="s">
        <v>111</v>
      </c>
      <c r="G154" t="s">
        <v>112</v>
      </c>
      <c r="H154" t="s">
        <v>113</v>
      </c>
      <c r="I154">
        <v>22.3977590789884</v>
      </c>
      <c r="J154" t="s">
        <v>177</v>
      </c>
      <c r="K154">
        <v>1</v>
      </c>
      <c r="L154">
        <v>602</v>
      </c>
      <c r="M154">
        <v>1237</v>
      </c>
      <c r="N154">
        <v>107</v>
      </c>
      <c r="O154">
        <v>519</v>
      </c>
      <c r="P154">
        <v>43051.67024120822</v>
      </c>
      <c r="Q154">
        <v>53785.46262810067</v>
      </c>
      <c r="R154">
        <v>1868.050478557714</v>
      </c>
      <c r="S154" t="s">
        <v>203</v>
      </c>
      <c r="T154" t="s">
        <v>204</v>
      </c>
    </row>
    <row r="155" spans="1:20">
      <c r="A155" t="s">
        <v>21</v>
      </c>
      <c r="B155" t="s">
        <v>22</v>
      </c>
      <c r="C155" t="s">
        <v>86</v>
      </c>
      <c r="D155">
        <v>54566.10813468019</v>
      </c>
      <c r="E155">
        <v>54566.10813468023</v>
      </c>
      <c r="F155" t="s">
        <v>111</v>
      </c>
      <c r="G155" t="s">
        <v>112</v>
      </c>
      <c r="H155" t="s">
        <v>113</v>
      </c>
      <c r="I155">
        <v>25.92253337324968</v>
      </c>
      <c r="J155" t="s">
        <v>178</v>
      </c>
      <c r="K155">
        <v>1</v>
      </c>
      <c r="L155">
        <v>602</v>
      </c>
      <c r="M155">
        <v>1237</v>
      </c>
      <c r="N155">
        <v>107</v>
      </c>
      <c r="O155">
        <v>519</v>
      </c>
      <c r="P155">
        <v>47402.55162007334</v>
      </c>
      <c r="Q155">
        <v>61547.46921176932</v>
      </c>
      <c r="R155">
        <v>2167.274519433005</v>
      </c>
      <c r="S155" t="s">
        <v>203</v>
      </c>
      <c r="T155" t="s">
        <v>204</v>
      </c>
    </row>
    <row r="156" spans="1:20">
      <c r="A156" t="s">
        <v>21</v>
      </c>
      <c r="B156" t="s">
        <v>22</v>
      </c>
      <c r="C156" t="s">
        <v>87</v>
      </c>
      <c r="D156">
        <v>53214.40710418195</v>
      </c>
      <c r="E156">
        <v>53214.40710418196</v>
      </c>
      <c r="F156" t="s">
        <v>111</v>
      </c>
      <c r="G156" t="s">
        <v>112</v>
      </c>
      <c r="H156" t="s">
        <v>113</v>
      </c>
      <c r="I156">
        <v>27.14878358285678</v>
      </c>
      <c r="J156" t="s">
        <v>179</v>
      </c>
      <c r="K156">
        <v>1</v>
      </c>
      <c r="L156">
        <v>602</v>
      </c>
      <c r="M156">
        <v>1237</v>
      </c>
      <c r="N156">
        <v>107</v>
      </c>
      <c r="O156">
        <v>519</v>
      </c>
      <c r="P156">
        <v>45900.76797494225</v>
      </c>
      <c r="Q156">
        <v>60347.83219455698</v>
      </c>
      <c r="R156">
        <v>2156.869900702218</v>
      </c>
      <c r="S156" t="s">
        <v>203</v>
      </c>
      <c r="T156" t="s">
        <v>204</v>
      </c>
    </row>
    <row r="157" spans="1:20">
      <c r="A157" t="s">
        <v>21</v>
      </c>
      <c r="B157" t="s">
        <v>22</v>
      </c>
      <c r="C157" t="s">
        <v>88</v>
      </c>
      <c r="D157">
        <v>50032.05658362646</v>
      </c>
      <c r="E157">
        <v>50032.05658362647</v>
      </c>
      <c r="F157" t="s">
        <v>111</v>
      </c>
      <c r="G157" t="s">
        <v>112</v>
      </c>
      <c r="H157" t="s">
        <v>113</v>
      </c>
      <c r="I157">
        <v>22.18853999084529</v>
      </c>
      <c r="J157" t="s">
        <v>180</v>
      </c>
      <c r="K157">
        <v>1</v>
      </c>
      <c r="L157">
        <v>602</v>
      </c>
      <c r="M157">
        <v>1237</v>
      </c>
      <c r="N157">
        <v>107</v>
      </c>
      <c r="O157">
        <v>519</v>
      </c>
      <c r="P157">
        <v>44657.96737227918</v>
      </c>
      <c r="Q157">
        <v>55759.35025557948</v>
      </c>
      <c r="R157">
        <v>1830.426472170698</v>
      </c>
      <c r="S157" t="s">
        <v>203</v>
      </c>
      <c r="T157" t="s">
        <v>204</v>
      </c>
    </row>
    <row r="158" spans="1:20">
      <c r="A158" t="s">
        <v>21</v>
      </c>
      <c r="B158" t="s">
        <v>22</v>
      </c>
      <c r="C158" t="s">
        <v>89</v>
      </c>
      <c r="D158">
        <v>48255.73318030786</v>
      </c>
      <c r="E158">
        <v>48255.73318030794</v>
      </c>
      <c r="F158" t="s">
        <v>111</v>
      </c>
      <c r="G158" t="s">
        <v>112</v>
      </c>
      <c r="H158" t="s">
        <v>113</v>
      </c>
      <c r="I158">
        <v>22.536315428432</v>
      </c>
      <c r="J158" t="s">
        <v>181</v>
      </c>
      <c r="K158">
        <v>1</v>
      </c>
      <c r="L158">
        <v>602</v>
      </c>
      <c r="M158">
        <v>1237</v>
      </c>
      <c r="N158">
        <v>107</v>
      </c>
      <c r="O158">
        <v>519</v>
      </c>
      <c r="P158">
        <v>43654.28781668146</v>
      </c>
      <c r="Q158">
        <v>54529.35205849815</v>
      </c>
      <c r="R158">
        <v>1782.199719156034</v>
      </c>
      <c r="S158" t="s">
        <v>203</v>
      </c>
      <c r="T158" t="s">
        <v>204</v>
      </c>
    </row>
    <row r="159" spans="1:20">
      <c r="A159" t="s">
        <v>21</v>
      </c>
      <c r="B159" t="s">
        <v>22</v>
      </c>
      <c r="C159" t="s">
        <v>90</v>
      </c>
      <c r="D159">
        <v>55956.00909790168</v>
      </c>
      <c r="E159">
        <v>55956.00909790171</v>
      </c>
      <c r="F159" t="s">
        <v>111</v>
      </c>
      <c r="G159" t="s">
        <v>112</v>
      </c>
      <c r="H159" t="s">
        <v>113</v>
      </c>
      <c r="I159">
        <v>20.76668903852835</v>
      </c>
      <c r="J159" t="s">
        <v>182</v>
      </c>
      <c r="K159">
        <v>1</v>
      </c>
      <c r="L159">
        <v>602</v>
      </c>
      <c r="M159">
        <v>1237</v>
      </c>
      <c r="N159">
        <v>107</v>
      </c>
      <c r="O159">
        <v>519</v>
      </c>
      <c r="P159">
        <v>50871.71512911528</v>
      </c>
      <c r="Q159">
        <v>62491.92553684716</v>
      </c>
      <c r="R159">
        <v>2039.197452853388</v>
      </c>
      <c r="S159" t="s">
        <v>203</v>
      </c>
      <c r="T159" t="s">
        <v>204</v>
      </c>
    </row>
    <row r="160" spans="1:20">
      <c r="A160" t="s">
        <v>21</v>
      </c>
      <c r="B160" t="s">
        <v>22</v>
      </c>
      <c r="C160" t="s">
        <v>91</v>
      </c>
      <c r="D160">
        <v>55274.91329554142</v>
      </c>
      <c r="E160">
        <v>55274.91329554145</v>
      </c>
      <c r="F160" t="s">
        <v>111</v>
      </c>
      <c r="G160" t="s">
        <v>112</v>
      </c>
      <c r="H160" t="s">
        <v>113</v>
      </c>
      <c r="I160">
        <v>22.7315492363453</v>
      </c>
      <c r="J160" t="s">
        <v>183</v>
      </c>
      <c r="K160">
        <v>1</v>
      </c>
      <c r="L160">
        <v>602</v>
      </c>
      <c r="M160">
        <v>1237</v>
      </c>
      <c r="N160">
        <v>107</v>
      </c>
      <c r="O160">
        <v>519</v>
      </c>
      <c r="P160">
        <v>48628.42736689665</v>
      </c>
      <c r="Q160">
        <v>61193.27149801982</v>
      </c>
      <c r="R160">
        <v>2162.654762886713</v>
      </c>
      <c r="S160" t="s">
        <v>203</v>
      </c>
      <c r="T160" t="s">
        <v>204</v>
      </c>
    </row>
    <row r="161" spans="1:20">
      <c r="A161" t="s">
        <v>21</v>
      </c>
      <c r="B161" t="s">
        <v>22</v>
      </c>
      <c r="C161" t="s">
        <v>92</v>
      </c>
      <c r="D161">
        <v>54128.67135349511</v>
      </c>
      <c r="E161">
        <v>54128.67135349508</v>
      </c>
      <c r="F161" t="s">
        <v>111</v>
      </c>
      <c r="G161" t="s">
        <v>112</v>
      </c>
      <c r="H161" t="s">
        <v>113</v>
      </c>
      <c r="I161">
        <v>21.85980417001181</v>
      </c>
      <c r="J161" t="s">
        <v>184</v>
      </c>
      <c r="K161">
        <v>1</v>
      </c>
      <c r="L161">
        <v>602</v>
      </c>
      <c r="M161">
        <v>1237</v>
      </c>
      <c r="N161">
        <v>107</v>
      </c>
      <c r="O161">
        <v>519</v>
      </c>
      <c r="P161">
        <v>47774.49181344245</v>
      </c>
      <c r="Q161">
        <v>59606.91337114576</v>
      </c>
      <c r="R161">
        <v>2213.27959771728</v>
      </c>
      <c r="S161" t="s">
        <v>203</v>
      </c>
      <c r="T161" t="s">
        <v>204</v>
      </c>
    </row>
    <row r="162" spans="1:20">
      <c r="A162" t="s">
        <v>21</v>
      </c>
      <c r="B162" t="s">
        <v>22</v>
      </c>
      <c r="C162" t="s">
        <v>93</v>
      </c>
      <c r="D162">
        <v>46506.39967003273</v>
      </c>
      <c r="E162">
        <v>46506.39967003284</v>
      </c>
      <c r="F162" t="s">
        <v>111</v>
      </c>
      <c r="G162" t="s">
        <v>112</v>
      </c>
      <c r="H162" t="s">
        <v>113</v>
      </c>
      <c r="I162">
        <v>24.32436327181746</v>
      </c>
      <c r="J162" t="s">
        <v>185</v>
      </c>
      <c r="K162">
        <v>1</v>
      </c>
      <c r="L162">
        <v>602</v>
      </c>
      <c r="M162">
        <v>1237</v>
      </c>
      <c r="N162">
        <v>107</v>
      </c>
      <c r="O162">
        <v>519</v>
      </c>
      <c r="P162">
        <v>41506.12707126345</v>
      </c>
      <c r="Q162">
        <v>52818.51267164553</v>
      </c>
      <c r="R162">
        <v>1602.241561276301</v>
      </c>
      <c r="S162" t="s">
        <v>203</v>
      </c>
      <c r="T162" t="s">
        <v>204</v>
      </c>
    </row>
    <row r="163" spans="1:20">
      <c r="A163" t="s">
        <v>21</v>
      </c>
      <c r="B163" t="s">
        <v>22</v>
      </c>
      <c r="C163" t="s">
        <v>94</v>
      </c>
      <c r="D163">
        <v>45431.86819417843</v>
      </c>
      <c r="E163">
        <v>45431.86819417848</v>
      </c>
      <c r="F163" t="s">
        <v>111</v>
      </c>
      <c r="G163" t="s">
        <v>112</v>
      </c>
      <c r="H163" t="s">
        <v>113</v>
      </c>
      <c r="I163">
        <v>19.26796631109073</v>
      </c>
      <c r="J163" t="s">
        <v>186</v>
      </c>
      <c r="K163">
        <v>1</v>
      </c>
      <c r="L163">
        <v>602</v>
      </c>
      <c r="M163">
        <v>1237</v>
      </c>
      <c r="N163">
        <v>107</v>
      </c>
      <c r="O163">
        <v>519</v>
      </c>
      <c r="P163">
        <v>41146.9622605978</v>
      </c>
      <c r="Q163">
        <v>49900.75931875125</v>
      </c>
      <c r="R163">
        <v>1575.3364936861</v>
      </c>
      <c r="S163" t="s">
        <v>203</v>
      </c>
      <c r="T163" t="s">
        <v>204</v>
      </c>
    </row>
    <row r="164" spans="1:20">
      <c r="A164" t="s">
        <v>21</v>
      </c>
      <c r="B164" t="s">
        <v>22</v>
      </c>
      <c r="C164" t="s">
        <v>95</v>
      </c>
      <c r="D164">
        <v>56228.61970248227</v>
      </c>
      <c r="E164">
        <v>56228.61970248233</v>
      </c>
      <c r="F164" t="s">
        <v>111</v>
      </c>
      <c r="G164" t="s">
        <v>112</v>
      </c>
      <c r="H164" t="s">
        <v>113</v>
      </c>
      <c r="I164">
        <v>20.67874167746883</v>
      </c>
      <c r="J164" t="s">
        <v>187</v>
      </c>
      <c r="K164">
        <v>1</v>
      </c>
      <c r="L164">
        <v>602</v>
      </c>
      <c r="M164">
        <v>1237</v>
      </c>
      <c r="N164">
        <v>107</v>
      </c>
      <c r="O164">
        <v>519</v>
      </c>
      <c r="P164">
        <v>51308.1162798116</v>
      </c>
      <c r="Q164">
        <v>62935.48729689425</v>
      </c>
      <c r="R164">
        <v>1964.268423220048</v>
      </c>
      <c r="S164" t="s">
        <v>203</v>
      </c>
      <c r="T164" t="s">
        <v>204</v>
      </c>
    </row>
    <row r="165" spans="1:20">
      <c r="A165" t="s">
        <v>21</v>
      </c>
      <c r="B165" t="s">
        <v>22</v>
      </c>
      <c r="C165" t="s">
        <v>96</v>
      </c>
      <c r="D165">
        <v>55403.45205305507</v>
      </c>
      <c r="E165">
        <v>55403.45205305511</v>
      </c>
      <c r="F165" t="s">
        <v>111</v>
      </c>
      <c r="G165" t="s">
        <v>112</v>
      </c>
      <c r="H165" t="s">
        <v>113</v>
      </c>
      <c r="I165">
        <v>25.1719043523196</v>
      </c>
      <c r="J165" t="s">
        <v>188</v>
      </c>
      <c r="K165">
        <v>1</v>
      </c>
      <c r="L165">
        <v>602</v>
      </c>
      <c r="M165">
        <v>1237</v>
      </c>
      <c r="N165">
        <v>107</v>
      </c>
      <c r="O165">
        <v>519</v>
      </c>
      <c r="P165">
        <v>48407.65123142165</v>
      </c>
      <c r="Q165">
        <v>62353.75519009992</v>
      </c>
      <c r="R165">
        <v>2119.63718359122</v>
      </c>
      <c r="S165" t="s">
        <v>203</v>
      </c>
      <c r="T165" t="s">
        <v>204</v>
      </c>
    </row>
    <row r="166" spans="1:20">
      <c r="A166" t="s">
        <v>21</v>
      </c>
      <c r="B166" t="s">
        <v>22</v>
      </c>
      <c r="C166" t="s">
        <v>97</v>
      </c>
      <c r="D166">
        <v>46995.21967205182</v>
      </c>
      <c r="E166">
        <v>46995.21967205191</v>
      </c>
      <c r="F166" t="s">
        <v>111</v>
      </c>
      <c r="G166" t="s">
        <v>112</v>
      </c>
      <c r="H166" t="s">
        <v>113</v>
      </c>
      <c r="I166">
        <v>16.29174334140856</v>
      </c>
      <c r="J166" t="s">
        <v>189</v>
      </c>
      <c r="K166">
        <v>1</v>
      </c>
      <c r="L166">
        <v>602</v>
      </c>
      <c r="M166">
        <v>1237</v>
      </c>
      <c r="N166">
        <v>107</v>
      </c>
      <c r="O166">
        <v>519</v>
      </c>
      <c r="P166">
        <v>43407.16435058607</v>
      </c>
      <c r="Q166">
        <v>51063.5049222879</v>
      </c>
      <c r="R166">
        <v>1479.662837754204</v>
      </c>
      <c r="S166" t="s">
        <v>203</v>
      </c>
      <c r="T166" t="s">
        <v>204</v>
      </c>
    </row>
    <row r="167" spans="1:20">
      <c r="A167" t="s">
        <v>21</v>
      </c>
      <c r="B167" t="s">
        <v>22</v>
      </c>
      <c r="C167" t="s">
        <v>98</v>
      </c>
      <c r="D167">
        <v>45768.98952333845</v>
      </c>
      <c r="E167">
        <v>45768.98952333852</v>
      </c>
      <c r="F167" t="s">
        <v>111</v>
      </c>
      <c r="G167" t="s">
        <v>112</v>
      </c>
      <c r="H167" t="s">
        <v>113</v>
      </c>
      <c r="I167">
        <v>20.58311359036812</v>
      </c>
      <c r="J167" t="s">
        <v>190</v>
      </c>
      <c r="K167">
        <v>1</v>
      </c>
      <c r="L167">
        <v>602</v>
      </c>
      <c r="M167">
        <v>1237</v>
      </c>
      <c r="N167">
        <v>107</v>
      </c>
      <c r="O167">
        <v>519</v>
      </c>
      <c r="P167">
        <v>40870.08580599145</v>
      </c>
      <c r="Q167">
        <v>50290.76890874388</v>
      </c>
      <c r="R167">
        <v>1526.413736033123</v>
      </c>
      <c r="S167" t="s">
        <v>203</v>
      </c>
      <c r="T167" t="s">
        <v>204</v>
      </c>
    </row>
    <row r="168" spans="1:20">
      <c r="A168" t="s">
        <v>21</v>
      </c>
      <c r="B168" t="s">
        <v>22</v>
      </c>
      <c r="C168" t="s">
        <v>99</v>
      </c>
      <c r="D168">
        <v>54945.75945209619</v>
      </c>
      <c r="E168">
        <v>54945.75945209621</v>
      </c>
      <c r="F168" t="s">
        <v>111</v>
      </c>
      <c r="G168" t="s">
        <v>112</v>
      </c>
      <c r="H168" t="s">
        <v>113</v>
      </c>
      <c r="I168">
        <v>20.56815443737176</v>
      </c>
      <c r="J168" t="s">
        <v>191</v>
      </c>
      <c r="K168">
        <v>1</v>
      </c>
      <c r="L168">
        <v>602</v>
      </c>
      <c r="M168">
        <v>1237</v>
      </c>
      <c r="N168">
        <v>107</v>
      </c>
      <c r="O168">
        <v>519</v>
      </c>
      <c r="P168">
        <v>49702.80246341599</v>
      </c>
      <c r="Q168">
        <v>61004.13112430992</v>
      </c>
      <c r="R168">
        <v>2040.743447364364</v>
      </c>
      <c r="S168" t="s">
        <v>203</v>
      </c>
      <c r="T168" t="s">
        <v>204</v>
      </c>
    </row>
    <row r="169" spans="1:20">
      <c r="A169" t="s">
        <v>21</v>
      </c>
      <c r="B169" t="s">
        <v>22</v>
      </c>
      <c r="C169" t="s">
        <v>100</v>
      </c>
      <c r="D169">
        <v>45639.12875045444</v>
      </c>
      <c r="E169">
        <v>45639.12875045448</v>
      </c>
      <c r="F169" t="s">
        <v>111</v>
      </c>
      <c r="G169" t="s">
        <v>112</v>
      </c>
      <c r="H169" t="s">
        <v>113</v>
      </c>
      <c r="I169">
        <v>24.74449810803475</v>
      </c>
      <c r="J169" t="s">
        <v>192</v>
      </c>
      <c r="K169">
        <v>1</v>
      </c>
      <c r="L169">
        <v>602</v>
      </c>
      <c r="M169">
        <v>1237</v>
      </c>
      <c r="N169">
        <v>107</v>
      </c>
      <c r="O169">
        <v>519</v>
      </c>
      <c r="P169">
        <v>39409.71234018027</v>
      </c>
      <c r="Q169">
        <v>50702.88569036001</v>
      </c>
      <c r="R169">
        <v>1689.58491798357</v>
      </c>
      <c r="S169" t="s">
        <v>203</v>
      </c>
      <c r="T169" t="s">
        <v>204</v>
      </c>
    </row>
    <row r="170" spans="1:20">
      <c r="A170" t="s">
        <v>21</v>
      </c>
      <c r="B170" t="s">
        <v>22</v>
      </c>
      <c r="C170" t="s">
        <v>101</v>
      </c>
      <c r="D170">
        <v>56040.62842566551</v>
      </c>
      <c r="E170">
        <v>56040.62842566547</v>
      </c>
      <c r="F170" t="s">
        <v>111</v>
      </c>
      <c r="G170" t="s">
        <v>112</v>
      </c>
      <c r="H170" t="s">
        <v>113</v>
      </c>
      <c r="I170">
        <v>20.01907480494302</v>
      </c>
      <c r="J170" t="s">
        <v>193</v>
      </c>
      <c r="K170">
        <v>1</v>
      </c>
      <c r="L170">
        <v>602</v>
      </c>
      <c r="M170">
        <v>1237</v>
      </c>
      <c r="N170">
        <v>107</v>
      </c>
      <c r="O170">
        <v>519</v>
      </c>
      <c r="P170">
        <v>50905.20938133301</v>
      </c>
      <c r="Q170">
        <v>62124.02470702714</v>
      </c>
      <c r="R170">
        <v>1946.564800036615</v>
      </c>
      <c r="S170" t="s">
        <v>203</v>
      </c>
      <c r="T170" t="s">
        <v>204</v>
      </c>
    </row>
    <row r="171" spans="1:20">
      <c r="A171" t="s">
        <v>21</v>
      </c>
      <c r="B171" t="s">
        <v>22</v>
      </c>
      <c r="C171" t="s">
        <v>102</v>
      </c>
      <c r="D171">
        <v>46283.00062722038</v>
      </c>
      <c r="E171">
        <v>46283.00062722045</v>
      </c>
      <c r="F171" t="s">
        <v>111</v>
      </c>
      <c r="G171" t="s">
        <v>112</v>
      </c>
      <c r="H171" t="s">
        <v>113</v>
      </c>
      <c r="I171">
        <v>24.23092089864211</v>
      </c>
      <c r="J171" t="s">
        <v>194</v>
      </c>
      <c r="K171">
        <v>1</v>
      </c>
      <c r="L171">
        <v>602</v>
      </c>
      <c r="M171">
        <v>1237</v>
      </c>
      <c r="N171">
        <v>107</v>
      </c>
      <c r="O171">
        <v>519</v>
      </c>
      <c r="P171">
        <v>40753.5741239237</v>
      </c>
      <c r="Q171">
        <v>51968.37139542351</v>
      </c>
      <c r="R171">
        <v>1598.322032429637</v>
      </c>
      <c r="S171" t="s">
        <v>203</v>
      </c>
      <c r="T171" t="s">
        <v>204</v>
      </c>
    </row>
    <row r="172" spans="1:20">
      <c r="A172" t="s">
        <v>21</v>
      </c>
      <c r="B172" t="s">
        <v>22</v>
      </c>
      <c r="C172" t="s">
        <v>103</v>
      </c>
      <c r="D172">
        <v>54904.3906532692</v>
      </c>
      <c r="E172">
        <v>54904.39065326921</v>
      </c>
      <c r="F172" t="s">
        <v>111</v>
      </c>
      <c r="G172" t="s">
        <v>112</v>
      </c>
      <c r="H172" t="s">
        <v>113</v>
      </c>
      <c r="I172">
        <v>25.75161570002648</v>
      </c>
      <c r="J172" t="s">
        <v>195</v>
      </c>
      <c r="K172">
        <v>1</v>
      </c>
      <c r="L172">
        <v>602</v>
      </c>
      <c r="M172">
        <v>1237</v>
      </c>
      <c r="N172">
        <v>107</v>
      </c>
      <c r="O172">
        <v>519</v>
      </c>
      <c r="P172">
        <v>46575.59657300676</v>
      </c>
      <c r="Q172">
        <v>60714.3642564779</v>
      </c>
      <c r="R172">
        <v>2105.88341456358</v>
      </c>
      <c r="S172" t="s">
        <v>203</v>
      </c>
      <c r="T172" t="s">
        <v>204</v>
      </c>
    </row>
    <row r="173" spans="1:20">
      <c r="A173" t="s">
        <v>21</v>
      </c>
      <c r="B173" t="s">
        <v>22</v>
      </c>
      <c r="C173" t="s">
        <v>104</v>
      </c>
      <c r="D173">
        <v>53827.13889400165</v>
      </c>
      <c r="E173">
        <v>53827.13889400165</v>
      </c>
      <c r="F173" t="s">
        <v>111</v>
      </c>
      <c r="G173" t="s">
        <v>112</v>
      </c>
      <c r="H173" t="s">
        <v>113</v>
      </c>
      <c r="I173">
        <v>27.40502867965615</v>
      </c>
      <c r="J173" t="s">
        <v>196</v>
      </c>
      <c r="K173">
        <v>1</v>
      </c>
      <c r="L173">
        <v>602</v>
      </c>
      <c r="M173">
        <v>1237</v>
      </c>
      <c r="N173">
        <v>107</v>
      </c>
      <c r="O173">
        <v>519</v>
      </c>
      <c r="P173">
        <v>45889.85834291881</v>
      </c>
      <c r="Q173">
        <v>60641.20119425832</v>
      </c>
      <c r="R173">
        <v>2232.31146289336</v>
      </c>
      <c r="S173" t="s">
        <v>203</v>
      </c>
      <c r="T173" t="s">
        <v>204</v>
      </c>
    </row>
    <row r="174" spans="1:20">
      <c r="A174" t="s">
        <v>21</v>
      </c>
      <c r="B174" t="s">
        <v>22</v>
      </c>
      <c r="C174" t="s">
        <v>105</v>
      </c>
      <c r="D174">
        <v>46135.53582908075</v>
      </c>
      <c r="E174">
        <v>46135.53582908082</v>
      </c>
      <c r="F174" t="s">
        <v>111</v>
      </c>
      <c r="G174" t="s">
        <v>112</v>
      </c>
      <c r="H174" t="s">
        <v>113</v>
      </c>
      <c r="I174">
        <v>21.45554668364018</v>
      </c>
      <c r="J174" t="s">
        <v>197</v>
      </c>
      <c r="K174">
        <v>1</v>
      </c>
      <c r="L174">
        <v>602</v>
      </c>
      <c r="M174">
        <v>1237</v>
      </c>
      <c r="N174">
        <v>107</v>
      </c>
      <c r="O174">
        <v>519</v>
      </c>
      <c r="P174">
        <v>40923.76392737259</v>
      </c>
      <c r="Q174">
        <v>50822.39535492856</v>
      </c>
      <c r="R174">
        <v>1671.69519911538</v>
      </c>
      <c r="S174" t="s">
        <v>203</v>
      </c>
      <c r="T174" t="s">
        <v>204</v>
      </c>
    </row>
    <row r="175" spans="1:20">
      <c r="A175" t="s">
        <v>21</v>
      </c>
      <c r="B175" t="s">
        <v>22</v>
      </c>
      <c r="C175" t="s">
        <v>106</v>
      </c>
      <c r="D175">
        <v>45114.55690253089</v>
      </c>
      <c r="E175">
        <v>45114.55690253094</v>
      </c>
      <c r="F175" t="s">
        <v>111</v>
      </c>
      <c r="G175" t="s">
        <v>112</v>
      </c>
      <c r="H175" t="s">
        <v>113</v>
      </c>
      <c r="I175">
        <v>21.58469156984889</v>
      </c>
      <c r="J175" t="s">
        <v>198</v>
      </c>
      <c r="K175">
        <v>1</v>
      </c>
      <c r="L175">
        <v>602</v>
      </c>
      <c r="M175">
        <v>1237</v>
      </c>
      <c r="N175">
        <v>107</v>
      </c>
      <c r="O175">
        <v>519</v>
      </c>
      <c r="P175">
        <v>40327.74359744126</v>
      </c>
      <c r="Q175">
        <v>50065.58155795653</v>
      </c>
      <c r="R175">
        <v>1623.203264128899</v>
      </c>
      <c r="S175" t="s">
        <v>203</v>
      </c>
      <c r="T175" t="s">
        <v>204</v>
      </c>
    </row>
    <row r="176" spans="1:20">
      <c r="A176" t="s">
        <v>21</v>
      </c>
      <c r="B176" t="s">
        <v>22</v>
      </c>
      <c r="C176" t="s">
        <v>107</v>
      </c>
      <c r="D176">
        <v>56239.51803795821</v>
      </c>
      <c r="E176">
        <v>56239.51803795823</v>
      </c>
      <c r="F176" t="s">
        <v>111</v>
      </c>
      <c r="G176" t="s">
        <v>112</v>
      </c>
      <c r="H176" t="s">
        <v>113</v>
      </c>
      <c r="I176">
        <v>26.07354791368033</v>
      </c>
      <c r="J176" t="s">
        <v>199</v>
      </c>
      <c r="K176">
        <v>1</v>
      </c>
      <c r="L176">
        <v>602</v>
      </c>
      <c r="M176">
        <v>1237</v>
      </c>
      <c r="N176">
        <v>107</v>
      </c>
      <c r="O176">
        <v>519</v>
      </c>
      <c r="P176">
        <v>48919.42691267168</v>
      </c>
      <c r="Q176">
        <v>63583.0645947216</v>
      </c>
      <c r="R176">
        <v>2175.489297443956</v>
      </c>
      <c r="S176" t="s">
        <v>203</v>
      </c>
      <c r="T176" t="s">
        <v>204</v>
      </c>
    </row>
    <row r="177" spans="1:20">
      <c r="A177" t="s">
        <v>21</v>
      </c>
      <c r="B177" t="s">
        <v>22</v>
      </c>
      <c r="C177" t="s">
        <v>108</v>
      </c>
      <c r="D177">
        <v>55150.66846593354</v>
      </c>
      <c r="E177">
        <v>55150.66846593354</v>
      </c>
      <c r="F177" t="s">
        <v>111</v>
      </c>
      <c r="G177" t="s">
        <v>112</v>
      </c>
      <c r="H177" t="s">
        <v>113</v>
      </c>
      <c r="I177">
        <v>20.44107355603049</v>
      </c>
      <c r="J177" t="s">
        <v>200</v>
      </c>
      <c r="K177">
        <v>1</v>
      </c>
      <c r="L177">
        <v>602</v>
      </c>
      <c r="M177">
        <v>1237</v>
      </c>
      <c r="N177">
        <v>107</v>
      </c>
      <c r="O177">
        <v>519</v>
      </c>
      <c r="P177">
        <v>50225.24552429795</v>
      </c>
      <c r="Q177">
        <v>61498.63423206194</v>
      </c>
      <c r="R177">
        <v>2087.741507866948</v>
      </c>
      <c r="S177" t="s">
        <v>203</v>
      </c>
      <c r="T177" t="s">
        <v>204</v>
      </c>
    </row>
    <row r="178" spans="1:20">
      <c r="A178" t="s">
        <v>21</v>
      </c>
      <c r="B178" t="s">
        <v>22</v>
      </c>
      <c r="C178" t="s">
        <v>109</v>
      </c>
      <c r="D178">
        <v>46702.59927749436</v>
      </c>
      <c r="E178">
        <v>46702.59927749442</v>
      </c>
      <c r="F178" t="s">
        <v>111</v>
      </c>
      <c r="G178" t="s">
        <v>112</v>
      </c>
      <c r="H178" t="s">
        <v>113</v>
      </c>
      <c r="I178">
        <v>19.92203555804102</v>
      </c>
      <c r="J178" t="s">
        <v>201</v>
      </c>
      <c r="K178">
        <v>1</v>
      </c>
      <c r="L178">
        <v>602</v>
      </c>
      <c r="M178">
        <v>1237</v>
      </c>
      <c r="N178">
        <v>107</v>
      </c>
      <c r="O178">
        <v>519</v>
      </c>
      <c r="P178">
        <v>42101.73509240754</v>
      </c>
      <c r="Q178">
        <v>51405.84352699938</v>
      </c>
      <c r="R178">
        <v>1542.103181926743</v>
      </c>
      <c r="S178" t="s">
        <v>203</v>
      </c>
      <c r="T178" t="s">
        <v>204</v>
      </c>
    </row>
    <row r="179" spans="1:20">
      <c r="A179" t="s">
        <v>21</v>
      </c>
      <c r="B179" t="s">
        <v>22</v>
      </c>
      <c r="C179" t="s">
        <v>110</v>
      </c>
      <c r="D179">
        <v>45591.95283490328</v>
      </c>
      <c r="E179">
        <v>45591.95283490336</v>
      </c>
      <c r="F179" t="s">
        <v>111</v>
      </c>
      <c r="G179" t="s">
        <v>112</v>
      </c>
      <c r="H179" t="s">
        <v>113</v>
      </c>
      <c r="I179">
        <v>19.18968205109838</v>
      </c>
      <c r="J179" t="s">
        <v>202</v>
      </c>
      <c r="K179">
        <v>1</v>
      </c>
      <c r="L179">
        <v>602</v>
      </c>
      <c r="M179">
        <v>1237</v>
      </c>
      <c r="N179">
        <v>107</v>
      </c>
      <c r="O179">
        <v>519</v>
      </c>
      <c r="P179">
        <v>41117.10272341553</v>
      </c>
      <c r="Q179">
        <v>49866.05351332021</v>
      </c>
      <c r="R179">
        <v>1449.539225080203</v>
      </c>
      <c r="S179" t="s">
        <v>203</v>
      </c>
      <c r="T179" t="s">
        <v>204</v>
      </c>
    </row>
  </sheetData>
  <autoFilter ref="A1:T17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5"/>
  <sheetViews>
    <sheetView workbookViewId="0"/>
  </sheetViews>
  <sheetFormatPr defaultRowHeight="15"/>
  <cols>
    <col min="1" max="1" width="48.7109375" customWidth="1"/>
    <col min="2" max="2" width="14.7109375" customWidth="1"/>
    <col min="3" max="4" width="20.7109375" customWidth="1"/>
    <col min="5" max="5" width="50.7109375" customWidth="1"/>
    <col min="6" max="9" width="10.7109375" style="2" customWidth="1"/>
    <col min="10" max="11" width="16.7109375" style="2" customWidth="1"/>
    <col min="12" max="12" width="14.7109375" style="3" customWidth="1"/>
  </cols>
  <sheetData>
    <row r="1" spans="1:12">
      <c r="A1" s="4" t="s">
        <v>205</v>
      </c>
    </row>
    <row r="2" spans="1:12">
      <c r="A2" t="s">
        <v>206</v>
      </c>
    </row>
    <row r="3" spans="1:12">
      <c r="A3" t="s">
        <v>207</v>
      </c>
    </row>
    <row r="5" spans="1:12">
      <c r="A5" s="4" t="s">
        <v>208</v>
      </c>
    </row>
    <row r="6" spans="1:12">
      <c r="A6" s="5" t="s">
        <v>9</v>
      </c>
      <c r="B6" s="5" t="s">
        <v>5</v>
      </c>
      <c r="C6" s="5" t="s">
        <v>18</v>
      </c>
      <c r="D6" s="5" t="s">
        <v>19</v>
      </c>
      <c r="E6" s="5" t="s">
        <v>209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210</v>
      </c>
      <c r="K6" s="5" t="s">
        <v>211</v>
      </c>
      <c r="L6" s="5" t="s">
        <v>212</v>
      </c>
    </row>
    <row r="7" spans="1:12">
      <c r="A7" t="s">
        <v>114</v>
      </c>
      <c r="B7" t="s">
        <v>111</v>
      </c>
      <c r="C7" t="s">
        <v>203</v>
      </c>
      <c r="D7" t="s">
        <v>204</v>
      </c>
      <c r="F7" s="2">
        <v>602</v>
      </c>
      <c r="G7" s="2">
        <v>1237</v>
      </c>
      <c r="H7" s="2">
        <v>107</v>
      </c>
      <c r="I7" s="2">
        <v>519</v>
      </c>
      <c r="J7" s="2">
        <v>57803.9252642069</v>
      </c>
      <c r="K7" s="2">
        <v>57803.9252642069</v>
      </c>
      <c r="L7" s="3">
        <v>1</v>
      </c>
    </row>
    <row r="8" spans="1:12">
      <c r="A8" t="s">
        <v>158</v>
      </c>
      <c r="B8" t="s">
        <v>111</v>
      </c>
      <c r="C8" t="s">
        <v>203</v>
      </c>
      <c r="D8" t="s">
        <v>204</v>
      </c>
      <c r="F8" s="2">
        <v>602</v>
      </c>
      <c r="G8" s="2">
        <v>1237</v>
      </c>
      <c r="H8" s="2">
        <v>107</v>
      </c>
      <c r="I8" s="2">
        <v>519</v>
      </c>
      <c r="J8" s="2">
        <v>56667.27005914134</v>
      </c>
      <c r="K8" s="2">
        <v>56667.27005914143</v>
      </c>
      <c r="L8" s="3">
        <v>0.9803360204368448</v>
      </c>
    </row>
    <row r="9" spans="1:12">
      <c r="A9" t="s">
        <v>159</v>
      </c>
      <c r="B9" t="s">
        <v>111</v>
      </c>
      <c r="C9" t="s">
        <v>203</v>
      </c>
      <c r="D9" t="s">
        <v>204</v>
      </c>
      <c r="F9" s="2">
        <v>602</v>
      </c>
      <c r="G9" s="2">
        <v>1237</v>
      </c>
      <c r="H9" s="2">
        <v>107</v>
      </c>
      <c r="I9" s="2">
        <v>519</v>
      </c>
      <c r="J9" s="2">
        <v>56608.02235842187</v>
      </c>
      <c r="K9" s="2">
        <v>56608.02235842193</v>
      </c>
      <c r="L9" s="3">
        <v>0.9793110433189642</v>
      </c>
    </row>
    <row r="10" spans="1:12">
      <c r="A10" t="s">
        <v>129</v>
      </c>
      <c r="B10" t="s">
        <v>111</v>
      </c>
      <c r="C10" t="s">
        <v>203</v>
      </c>
      <c r="D10" t="s">
        <v>204</v>
      </c>
      <c r="F10" s="2">
        <v>602</v>
      </c>
      <c r="G10" s="2">
        <v>1237</v>
      </c>
      <c r="H10" s="2">
        <v>107</v>
      </c>
      <c r="I10" s="2">
        <v>519</v>
      </c>
      <c r="J10" s="2">
        <v>56579.38027127238</v>
      </c>
      <c r="K10" s="2">
        <v>56579.38027127246</v>
      </c>
      <c r="L10" s="3">
        <v>0.978815539129265</v>
      </c>
    </row>
    <row r="11" spans="1:12">
      <c r="A11" t="s">
        <v>131</v>
      </c>
      <c r="B11" t="s">
        <v>111</v>
      </c>
      <c r="C11" t="s">
        <v>203</v>
      </c>
      <c r="D11" t="s">
        <v>204</v>
      </c>
      <c r="F11" s="2">
        <v>602</v>
      </c>
      <c r="G11" s="2">
        <v>1237</v>
      </c>
      <c r="H11" s="2">
        <v>107</v>
      </c>
      <c r="I11" s="2">
        <v>519</v>
      </c>
      <c r="J11" s="2">
        <v>56549.95562866992</v>
      </c>
      <c r="K11" s="2">
        <v>56549.95562866997</v>
      </c>
      <c r="L11" s="3">
        <v>0.9783064968372757</v>
      </c>
    </row>
    <row r="12" spans="1:12">
      <c r="A12" t="s">
        <v>199</v>
      </c>
      <c r="B12" t="s">
        <v>111</v>
      </c>
      <c r="C12" t="s">
        <v>203</v>
      </c>
      <c r="D12" t="s">
        <v>204</v>
      </c>
      <c r="F12" s="2">
        <v>602</v>
      </c>
      <c r="G12" s="2">
        <v>1237</v>
      </c>
      <c r="H12" s="2">
        <v>107</v>
      </c>
      <c r="I12" s="2">
        <v>519</v>
      </c>
      <c r="J12" s="2">
        <v>56277.86962770874</v>
      </c>
      <c r="K12" s="2">
        <v>56277.86962770875</v>
      </c>
      <c r="L12" s="3">
        <v>0.9735994462396291</v>
      </c>
    </row>
    <row r="13" spans="1:12">
      <c r="A13" t="s">
        <v>187</v>
      </c>
      <c r="B13" t="s">
        <v>111</v>
      </c>
      <c r="C13" t="s">
        <v>203</v>
      </c>
      <c r="D13" t="s">
        <v>204</v>
      </c>
      <c r="F13" s="2">
        <v>602</v>
      </c>
      <c r="G13" s="2">
        <v>1237</v>
      </c>
      <c r="H13" s="2">
        <v>107</v>
      </c>
      <c r="I13" s="2">
        <v>519</v>
      </c>
      <c r="J13" s="2">
        <v>56218.83960809651</v>
      </c>
      <c r="K13" s="2">
        <v>56218.83960809655</v>
      </c>
      <c r="L13" s="3">
        <v>0.9725782349751275</v>
      </c>
    </row>
    <row r="14" spans="1:12">
      <c r="A14" t="s">
        <v>144</v>
      </c>
      <c r="B14" t="s">
        <v>111</v>
      </c>
      <c r="C14" t="s">
        <v>203</v>
      </c>
      <c r="D14" t="s">
        <v>204</v>
      </c>
      <c r="F14" s="2">
        <v>602</v>
      </c>
      <c r="G14" s="2">
        <v>1237</v>
      </c>
      <c r="H14" s="2">
        <v>107</v>
      </c>
      <c r="I14" s="2">
        <v>519</v>
      </c>
      <c r="J14" s="2">
        <v>56113.46798721024</v>
      </c>
      <c r="K14" s="2">
        <v>56113.46798721032</v>
      </c>
      <c r="L14" s="3">
        <v>0.9707553203477102</v>
      </c>
    </row>
    <row r="15" spans="1:12">
      <c r="A15" t="s">
        <v>121</v>
      </c>
      <c r="B15" t="s">
        <v>111</v>
      </c>
      <c r="C15" t="s">
        <v>203</v>
      </c>
      <c r="D15" t="s">
        <v>204</v>
      </c>
      <c r="F15" s="2">
        <v>602</v>
      </c>
      <c r="G15" s="2">
        <v>1237</v>
      </c>
      <c r="H15" s="2">
        <v>107</v>
      </c>
      <c r="I15" s="2">
        <v>519</v>
      </c>
      <c r="J15" s="2">
        <v>56112.46590753766</v>
      </c>
      <c r="K15" s="2">
        <v>56112.46590753768</v>
      </c>
      <c r="L15" s="3">
        <v>0.9707379845064499</v>
      </c>
    </row>
    <row r="16" spans="1:12">
      <c r="A16" t="s">
        <v>174</v>
      </c>
      <c r="B16" t="s">
        <v>111</v>
      </c>
      <c r="C16" t="s">
        <v>203</v>
      </c>
      <c r="D16" t="s">
        <v>204</v>
      </c>
      <c r="F16" s="2">
        <v>602</v>
      </c>
      <c r="G16" s="2">
        <v>1237</v>
      </c>
      <c r="H16" s="2">
        <v>107</v>
      </c>
      <c r="I16" s="2">
        <v>519</v>
      </c>
      <c r="J16" s="2">
        <v>56065.19583294614</v>
      </c>
      <c r="K16" s="2">
        <v>56065.19583294619</v>
      </c>
      <c r="L16" s="3">
        <v>0.9699202186821492</v>
      </c>
    </row>
    <row r="17" spans="1:12">
      <c r="A17" t="s">
        <v>193</v>
      </c>
      <c r="B17" t="s">
        <v>111</v>
      </c>
      <c r="C17" t="s">
        <v>203</v>
      </c>
      <c r="D17" t="s">
        <v>204</v>
      </c>
      <c r="F17" s="2">
        <v>602</v>
      </c>
      <c r="G17" s="2">
        <v>1237</v>
      </c>
      <c r="H17" s="2">
        <v>107</v>
      </c>
      <c r="I17" s="2">
        <v>519</v>
      </c>
      <c r="J17" s="2">
        <v>56032.09372137462</v>
      </c>
      <c r="K17" s="2">
        <v>56032.09372137461</v>
      </c>
      <c r="L17" s="3">
        <v>0.9693475566800404</v>
      </c>
    </row>
    <row r="18" spans="1:12">
      <c r="A18" t="s">
        <v>182</v>
      </c>
      <c r="B18" t="s">
        <v>111</v>
      </c>
      <c r="C18" t="s">
        <v>203</v>
      </c>
      <c r="D18" t="s">
        <v>204</v>
      </c>
      <c r="F18" s="2">
        <v>602</v>
      </c>
      <c r="G18" s="2">
        <v>1237</v>
      </c>
      <c r="H18" s="2">
        <v>107</v>
      </c>
      <c r="I18" s="2">
        <v>519</v>
      </c>
      <c r="J18" s="2">
        <v>56012.5949863916</v>
      </c>
      <c r="K18" s="2">
        <v>56012.59498639162</v>
      </c>
      <c r="L18" s="3">
        <v>0.9690102312320905</v>
      </c>
    </row>
    <row r="19" spans="1:12">
      <c r="A19" t="s">
        <v>132</v>
      </c>
      <c r="B19" t="s">
        <v>111</v>
      </c>
      <c r="C19" t="s">
        <v>203</v>
      </c>
      <c r="D19" t="s">
        <v>204</v>
      </c>
      <c r="F19" s="2">
        <v>602</v>
      </c>
      <c r="G19" s="2">
        <v>1237</v>
      </c>
      <c r="H19" s="2">
        <v>107</v>
      </c>
      <c r="I19" s="2">
        <v>519</v>
      </c>
      <c r="J19" s="2">
        <v>55735.97820699715</v>
      </c>
      <c r="K19" s="2">
        <v>55735.9782069972</v>
      </c>
      <c r="L19" s="3">
        <v>0.9642247987873198</v>
      </c>
    </row>
    <row r="20" spans="1:12">
      <c r="A20" t="s">
        <v>165</v>
      </c>
      <c r="B20" t="s">
        <v>111</v>
      </c>
      <c r="C20" t="s">
        <v>203</v>
      </c>
      <c r="D20" t="s">
        <v>204</v>
      </c>
      <c r="F20" s="2">
        <v>602</v>
      </c>
      <c r="G20" s="2">
        <v>1237</v>
      </c>
      <c r="H20" s="2">
        <v>107</v>
      </c>
      <c r="I20" s="2">
        <v>519</v>
      </c>
      <c r="J20" s="2">
        <v>55658.71679827406</v>
      </c>
      <c r="K20" s="2">
        <v>55658.71679827408</v>
      </c>
      <c r="L20" s="3">
        <v>0.9628881869850943</v>
      </c>
    </row>
    <row r="21" spans="1:12">
      <c r="A21" t="s">
        <v>160</v>
      </c>
      <c r="B21" t="s">
        <v>111</v>
      </c>
      <c r="C21" t="s">
        <v>203</v>
      </c>
      <c r="D21" t="s">
        <v>204</v>
      </c>
      <c r="F21" s="2">
        <v>602</v>
      </c>
      <c r="G21" s="2">
        <v>1237</v>
      </c>
      <c r="H21" s="2">
        <v>107</v>
      </c>
      <c r="I21" s="2">
        <v>519</v>
      </c>
      <c r="J21" s="2">
        <v>55587.90280073042</v>
      </c>
      <c r="K21" s="2">
        <v>55587.90280073047</v>
      </c>
      <c r="L21" s="3">
        <v>0.9616631145143242</v>
      </c>
    </row>
    <row r="22" spans="1:12">
      <c r="A22" t="s">
        <v>138</v>
      </c>
      <c r="B22" t="s">
        <v>111</v>
      </c>
      <c r="C22" t="s">
        <v>203</v>
      </c>
      <c r="D22" t="s">
        <v>204</v>
      </c>
      <c r="F22" s="2">
        <v>602</v>
      </c>
      <c r="G22" s="2">
        <v>1237</v>
      </c>
      <c r="H22" s="2">
        <v>107</v>
      </c>
      <c r="I22" s="2">
        <v>519</v>
      </c>
      <c r="J22" s="2">
        <v>55559.57079402731</v>
      </c>
      <c r="K22" s="2">
        <v>55559.57079402735</v>
      </c>
      <c r="L22" s="3">
        <v>0.9611729746739308</v>
      </c>
    </row>
    <row r="23" spans="1:12">
      <c r="A23" t="s">
        <v>117</v>
      </c>
      <c r="B23" t="s">
        <v>111</v>
      </c>
      <c r="C23" t="s">
        <v>203</v>
      </c>
      <c r="D23" t="s">
        <v>204</v>
      </c>
      <c r="F23" s="2">
        <v>602</v>
      </c>
      <c r="G23" s="2">
        <v>1237</v>
      </c>
      <c r="H23" s="2">
        <v>107</v>
      </c>
      <c r="I23" s="2">
        <v>519</v>
      </c>
      <c r="J23" s="2">
        <v>55429.07391349591</v>
      </c>
      <c r="K23" s="2">
        <v>55429.07391349599</v>
      </c>
      <c r="L23" s="3">
        <v>0.9589153964915684</v>
      </c>
    </row>
    <row r="24" spans="1:12">
      <c r="A24" t="s">
        <v>150</v>
      </c>
      <c r="B24" t="s">
        <v>111</v>
      </c>
      <c r="C24" t="s">
        <v>203</v>
      </c>
      <c r="D24" t="s">
        <v>204</v>
      </c>
      <c r="F24" s="2">
        <v>602</v>
      </c>
      <c r="G24" s="2">
        <v>1237</v>
      </c>
      <c r="H24" s="2">
        <v>107</v>
      </c>
      <c r="I24" s="2">
        <v>519</v>
      </c>
      <c r="J24" s="2">
        <v>55233.32576179371</v>
      </c>
      <c r="K24" s="2">
        <v>55233.32576179381</v>
      </c>
      <c r="L24" s="3">
        <v>0.9555289802437534</v>
      </c>
    </row>
    <row r="25" spans="1:12">
      <c r="A25" t="s">
        <v>188</v>
      </c>
      <c r="B25" t="s">
        <v>111</v>
      </c>
      <c r="C25" t="s">
        <v>203</v>
      </c>
      <c r="D25" t="s">
        <v>204</v>
      </c>
      <c r="F25" s="2">
        <v>602</v>
      </c>
      <c r="G25" s="2">
        <v>1237</v>
      </c>
      <c r="H25" s="2">
        <v>107</v>
      </c>
      <c r="I25" s="2">
        <v>519</v>
      </c>
      <c r="J25" s="2">
        <v>55222.47187681573</v>
      </c>
      <c r="K25" s="2">
        <v>55222.47187681575</v>
      </c>
      <c r="L25" s="3">
        <v>0.95534120951835</v>
      </c>
    </row>
    <row r="26" spans="1:12">
      <c r="A26" t="s">
        <v>183</v>
      </c>
      <c r="B26" t="s">
        <v>111</v>
      </c>
      <c r="C26" t="s">
        <v>203</v>
      </c>
      <c r="D26" t="s">
        <v>204</v>
      </c>
      <c r="F26" s="2">
        <v>602</v>
      </c>
      <c r="G26" s="2">
        <v>1237</v>
      </c>
      <c r="H26" s="2">
        <v>107</v>
      </c>
      <c r="I26" s="2">
        <v>519</v>
      </c>
      <c r="J26" s="2">
        <v>55218.73015790095</v>
      </c>
      <c r="K26" s="2">
        <v>55218.73015790098</v>
      </c>
      <c r="L26" s="3">
        <v>0.9552764782929589</v>
      </c>
    </row>
    <row r="27" spans="1:12">
      <c r="A27" t="s">
        <v>119</v>
      </c>
      <c r="B27" t="s">
        <v>111</v>
      </c>
      <c r="C27" t="s">
        <v>203</v>
      </c>
      <c r="D27" t="s">
        <v>204</v>
      </c>
      <c r="F27" s="2">
        <v>602</v>
      </c>
      <c r="G27" s="2">
        <v>1237</v>
      </c>
      <c r="H27" s="2">
        <v>107</v>
      </c>
      <c r="I27" s="2">
        <v>519</v>
      </c>
      <c r="J27" s="2">
        <v>55192.94022347502</v>
      </c>
      <c r="K27" s="2">
        <v>55192.94022347509</v>
      </c>
      <c r="L27" s="3">
        <v>0.9548303159552278</v>
      </c>
    </row>
    <row r="28" spans="1:12">
      <c r="A28" t="s">
        <v>147</v>
      </c>
      <c r="B28" t="s">
        <v>111</v>
      </c>
      <c r="C28" t="s">
        <v>203</v>
      </c>
      <c r="D28" t="s">
        <v>204</v>
      </c>
      <c r="F28" s="2">
        <v>602</v>
      </c>
      <c r="G28" s="2">
        <v>1237</v>
      </c>
      <c r="H28" s="2">
        <v>107</v>
      </c>
      <c r="I28" s="2">
        <v>519</v>
      </c>
      <c r="J28" s="2">
        <v>55124.90851331141</v>
      </c>
      <c r="K28" s="2">
        <v>55124.90851331148</v>
      </c>
      <c r="L28" s="3">
        <v>0.9536533766755395</v>
      </c>
    </row>
    <row r="29" spans="1:12">
      <c r="A29" t="s">
        <v>200</v>
      </c>
      <c r="B29" t="s">
        <v>111</v>
      </c>
      <c r="C29" t="s">
        <v>203</v>
      </c>
      <c r="D29" t="s">
        <v>204</v>
      </c>
      <c r="F29" s="2">
        <v>602</v>
      </c>
      <c r="G29" s="2">
        <v>1237</v>
      </c>
      <c r="H29" s="2">
        <v>107</v>
      </c>
      <c r="I29" s="2">
        <v>519</v>
      </c>
      <c r="J29" s="2">
        <v>55075.26180156366</v>
      </c>
      <c r="K29" s="2">
        <v>55075.26180156366</v>
      </c>
      <c r="L29" s="3">
        <v>0.9527944953535383</v>
      </c>
    </row>
    <row r="30" spans="1:12">
      <c r="A30" t="s">
        <v>191</v>
      </c>
      <c r="B30" t="s">
        <v>111</v>
      </c>
      <c r="C30" t="s">
        <v>203</v>
      </c>
      <c r="D30" t="s">
        <v>204</v>
      </c>
      <c r="F30" s="2">
        <v>602</v>
      </c>
      <c r="G30" s="2">
        <v>1237</v>
      </c>
      <c r="H30" s="2">
        <v>107</v>
      </c>
      <c r="I30" s="2">
        <v>519</v>
      </c>
      <c r="J30" s="2">
        <v>54933.86133632886</v>
      </c>
      <c r="K30" s="2">
        <v>54933.86133632886</v>
      </c>
      <c r="L30" s="3">
        <v>0.9503482866473216</v>
      </c>
    </row>
    <row r="31" spans="1:12">
      <c r="A31" t="s">
        <v>195</v>
      </c>
      <c r="B31" t="s">
        <v>111</v>
      </c>
      <c r="C31" t="s">
        <v>203</v>
      </c>
      <c r="D31" t="s">
        <v>204</v>
      </c>
      <c r="F31" s="2">
        <v>602</v>
      </c>
      <c r="G31" s="2">
        <v>1237</v>
      </c>
      <c r="H31" s="2">
        <v>107</v>
      </c>
      <c r="I31" s="2">
        <v>519</v>
      </c>
      <c r="J31" s="2">
        <v>54916.743794236</v>
      </c>
      <c r="K31" s="2">
        <v>54916.74379423603</v>
      </c>
      <c r="L31" s="3">
        <v>0.9500521555106454</v>
      </c>
    </row>
    <row r="32" spans="1:12">
      <c r="A32" t="s">
        <v>140</v>
      </c>
      <c r="B32" t="s">
        <v>111</v>
      </c>
      <c r="C32" t="s">
        <v>203</v>
      </c>
      <c r="D32" t="s">
        <v>204</v>
      </c>
      <c r="F32" s="2">
        <v>602</v>
      </c>
      <c r="G32" s="2">
        <v>1237</v>
      </c>
      <c r="H32" s="2">
        <v>107</v>
      </c>
      <c r="I32" s="2">
        <v>519</v>
      </c>
      <c r="J32" s="2">
        <v>54856.66138210355</v>
      </c>
      <c r="K32" s="2">
        <v>54856.66138210359</v>
      </c>
      <c r="L32" s="3">
        <v>0.9490127379995019</v>
      </c>
    </row>
    <row r="33" spans="1:12">
      <c r="A33" t="s">
        <v>153</v>
      </c>
      <c r="B33" t="s">
        <v>111</v>
      </c>
      <c r="C33" t="s">
        <v>203</v>
      </c>
      <c r="D33" t="s">
        <v>204</v>
      </c>
      <c r="F33" s="2">
        <v>602</v>
      </c>
      <c r="G33" s="2">
        <v>1237</v>
      </c>
      <c r="H33" s="2">
        <v>107</v>
      </c>
      <c r="I33" s="2">
        <v>519</v>
      </c>
      <c r="J33" s="2">
        <v>54765.2252543207</v>
      </c>
      <c r="K33" s="2">
        <v>54765.22525432071</v>
      </c>
      <c r="L33" s="3">
        <v>0.9474309054965199</v>
      </c>
    </row>
    <row r="34" spans="1:12">
      <c r="A34" t="s">
        <v>116</v>
      </c>
      <c r="B34" t="s">
        <v>111</v>
      </c>
      <c r="C34" t="s">
        <v>203</v>
      </c>
      <c r="D34" t="s">
        <v>204</v>
      </c>
      <c r="F34" s="2">
        <v>602</v>
      </c>
      <c r="G34" s="2">
        <v>1237</v>
      </c>
      <c r="H34" s="2">
        <v>107</v>
      </c>
      <c r="I34" s="2">
        <v>519</v>
      </c>
      <c r="J34" s="2">
        <v>54763.42678583466</v>
      </c>
      <c r="K34" s="2">
        <v>54763.4267858347</v>
      </c>
      <c r="L34" s="3">
        <v>0.9473997922377263</v>
      </c>
    </row>
    <row r="35" spans="1:12">
      <c r="A35" t="s">
        <v>166</v>
      </c>
      <c r="B35" t="s">
        <v>111</v>
      </c>
      <c r="C35" t="s">
        <v>203</v>
      </c>
      <c r="D35" t="s">
        <v>204</v>
      </c>
      <c r="F35" s="2">
        <v>602</v>
      </c>
      <c r="G35" s="2">
        <v>1237</v>
      </c>
      <c r="H35" s="2">
        <v>107</v>
      </c>
      <c r="I35" s="2">
        <v>519</v>
      </c>
      <c r="J35" s="2">
        <v>54677.73517617968</v>
      </c>
      <c r="K35" s="2">
        <v>54677.73517617975</v>
      </c>
      <c r="L35" s="3">
        <v>0.9459173391125572</v>
      </c>
    </row>
    <row r="36" spans="1:12">
      <c r="A36" t="s">
        <v>175</v>
      </c>
      <c r="B36" t="s">
        <v>111</v>
      </c>
      <c r="C36" t="s">
        <v>203</v>
      </c>
      <c r="D36" t="s">
        <v>204</v>
      </c>
      <c r="F36" s="2">
        <v>602</v>
      </c>
      <c r="G36" s="2">
        <v>1237</v>
      </c>
      <c r="H36" s="2">
        <v>107</v>
      </c>
      <c r="I36" s="2">
        <v>519</v>
      </c>
      <c r="J36" s="2">
        <v>54640.74121478076</v>
      </c>
      <c r="K36" s="2">
        <v>54640.74121478078</v>
      </c>
      <c r="L36" s="3">
        <v>0.9452773486408055</v>
      </c>
    </row>
    <row r="37" spans="1:12">
      <c r="A37" t="s">
        <v>178</v>
      </c>
      <c r="B37" t="s">
        <v>111</v>
      </c>
      <c r="C37" t="s">
        <v>203</v>
      </c>
      <c r="D37" t="s">
        <v>204</v>
      </c>
      <c r="F37" s="2">
        <v>602</v>
      </c>
      <c r="G37" s="2">
        <v>1237</v>
      </c>
      <c r="H37" s="2">
        <v>107</v>
      </c>
      <c r="I37" s="2">
        <v>519</v>
      </c>
      <c r="J37" s="2">
        <v>54627.11089723403</v>
      </c>
      <c r="K37" s="2">
        <v>54627.11089723408</v>
      </c>
      <c r="L37" s="3">
        <v>0.9450415460117554</v>
      </c>
    </row>
    <row r="38" spans="1:12">
      <c r="A38" t="s">
        <v>145</v>
      </c>
      <c r="B38" t="s">
        <v>111</v>
      </c>
      <c r="C38" t="s">
        <v>203</v>
      </c>
      <c r="D38" t="s">
        <v>204</v>
      </c>
      <c r="F38" s="2">
        <v>602</v>
      </c>
      <c r="G38" s="2">
        <v>1237</v>
      </c>
      <c r="H38" s="2">
        <v>107</v>
      </c>
      <c r="I38" s="2">
        <v>519</v>
      </c>
      <c r="J38" s="2">
        <v>54585.21800776715</v>
      </c>
      <c r="K38" s="2">
        <v>54585.21800776721</v>
      </c>
      <c r="L38" s="3">
        <v>0.9443168047545587</v>
      </c>
    </row>
    <row r="39" spans="1:12">
      <c r="A39" t="s">
        <v>128</v>
      </c>
      <c r="B39" t="s">
        <v>111</v>
      </c>
      <c r="C39" t="s">
        <v>203</v>
      </c>
      <c r="D39" t="s">
        <v>204</v>
      </c>
      <c r="F39" s="2">
        <v>602</v>
      </c>
      <c r="G39" s="2">
        <v>1237</v>
      </c>
      <c r="H39" s="2">
        <v>107</v>
      </c>
      <c r="I39" s="2">
        <v>519</v>
      </c>
      <c r="J39" s="2">
        <v>54497.16169244335</v>
      </c>
      <c r="K39" s="2">
        <v>54497.16169244335</v>
      </c>
      <c r="L39" s="3">
        <v>0.9427934425447895</v>
      </c>
    </row>
    <row r="40" spans="1:12">
      <c r="A40" t="s">
        <v>167</v>
      </c>
      <c r="B40" t="s">
        <v>111</v>
      </c>
      <c r="C40" t="s">
        <v>203</v>
      </c>
      <c r="D40" t="s">
        <v>204</v>
      </c>
      <c r="F40" s="2">
        <v>602</v>
      </c>
      <c r="G40" s="2">
        <v>1237</v>
      </c>
      <c r="H40" s="2">
        <v>107</v>
      </c>
      <c r="I40" s="2">
        <v>519</v>
      </c>
      <c r="J40" s="2">
        <v>54475.0159410146</v>
      </c>
      <c r="K40" s="2">
        <v>54475.01594101462</v>
      </c>
      <c r="L40" s="3">
        <v>0.942410324074417</v>
      </c>
    </row>
    <row r="41" spans="1:12">
      <c r="A41" t="s">
        <v>127</v>
      </c>
      <c r="B41" t="s">
        <v>111</v>
      </c>
      <c r="C41" t="s">
        <v>203</v>
      </c>
      <c r="D41" t="s">
        <v>204</v>
      </c>
      <c r="F41" s="2">
        <v>602</v>
      </c>
      <c r="G41" s="2">
        <v>1237</v>
      </c>
      <c r="H41" s="2">
        <v>107</v>
      </c>
      <c r="I41" s="2">
        <v>519</v>
      </c>
      <c r="J41" s="2">
        <v>54343.36970609997</v>
      </c>
      <c r="K41" s="2">
        <v>54343.36970610001</v>
      </c>
      <c r="L41" s="3">
        <v>0.9401328622184462</v>
      </c>
    </row>
    <row r="42" spans="1:12">
      <c r="A42" t="s">
        <v>152</v>
      </c>
      <c r="B42" t="s">
        <v>111</v>
      </c>
      <c r="C42" t="s">
        <v>203</v>
      </c>
      <c r="D42" t="s">
        <v>204</v>
      </c>
      <c r="F42" s="2">
        <v>602</v>
      </c>
      <c r="G42" s="2">
        <v>1237</v>
      </c>
      <c r="H42" s="2">
        <v>107</v>
      </c>
      <c r="I42" s="2">
        <v>519</v>
      </c>
      <c r="J42" s="2">
        <v>54288.51444297933</v>
      </c>
      <c r="K42" s="2">
        <v>54288.51444297939</v>
      </c>
      <c r="L42" s="3">
        <v>0.939183873670179</v>
      </c>
    </row>
    <row r="43" spans="1:12">
      <c r="A43" t="s">
        <v>157</v>
      </c>
      <c r="B43" t="s">
        <v>111</v>
      </c>
      <c r="C43" t="s">
        <v>203</v>
      </c>
      <c r="D43" t="s">
        <v>204</v>
      </c>
      <c r="F43" s="2">
        <v>602</v>
      </c>
      <c r="G43" s="2">
        <v>1237</v>
      </c>
      <c r="H43" s="2">
        <v>107</v>
      </c>
      <c r="I43" s="2">
        <v>519</v>
      </c>
      <c r="J43" s="2">
        <v>54203.72066274495</v>
      </c>
      <c r="K43" s="2">
        <v>54203.72066274501</v>
      </c>
      <c r="L43" s="3">
        <v>0.9377169528711706</v>
      </c>
    </row>
    <row r="44" spans="1:12">
      <c r="A44" t="s">
        <v>120</v>
      </c>
      <c r="B44" t="s">
        <v>111</v>
      </c>
      <c r="C44" t="s">
        <v>203</v>
      </c>
      <c r="D44" t="s">
        <v>204</v>
      </c>
      <c r="F44" s="2">
        <v>602</v>
      </c>
      <c r="G44" s="2">
        <v>1237</v>
      </c>
      <c r="H44" s="2">
        <v>107</v>
      </c>
      <c r="I44" s="2">
        <v>519</v>
      </c>
      <c r="J44" s="2">
        <v>54170.91067211441</v>
      </c>
      <c r="K44" s="2">
        <v>54170.91067211452</v>
      </c>
      <c r="L44" s="3">
        <v>0.9371493445213822</v>
      </c>
    </row>
    <row r="45" spans="1:12">
      <c r="A45" t="s">
        <v>184</v>
      </c>
      <c r="B45" t="s">
        <v>111</v>
      </c>
      <c r="C45" t="s">
        <v>203</v>
      </c>
      <c r="D45" t="s">
        <v>204</v>
      </c>
      <c r="F45" s="2">
        <v>602</v>
      </c>
      <c r="G45" s="2">
        <v>1237</v>
      </c>
      <c r="H45" s="2">
        <v>107</v>
      </c>
      <c r="I45" s="2">
        <v>519</v>
      </c>
      <c r="J45" s="2">
        <v>54110.34756305591</v>
      </c>
      <c r="K45" s="2">
        <v>54110.34756305589</v>
      </c>
      <c r="L45" s="3">
        <v>0.936101611019172</v>
      </c>
    </row>
    <row r="46" spans="1:12">
      <c r="A46" t="s">
        <v>196</v>
      </c>
      <c r="B46" t="s">
        <v>111</v>
      </c>
      <c r="C46" t="s">
        <v>203</v>
      </c>
      <c r="D46" t="s">
        <v>204</v>
      </c>
      <c r="F46" s="2">
        <v>602</v>
      </c>
      <c r="G46" s="2">
        <v>1237</v>
      </c>
      <c r="H46" s="2">
        <v>107</v>
      </c>
      <c r="I46" s="2">
        <v>519</v>
      </c>
      <c r="J46" s="2">
        <v>53860.08714927494</v>
      </c>
      <c r="K46" s="2">
        <v>53860.08714927496</v>
      </c>
      <c r="L46" s="3">
        <v>0.9317721400941945</v>
      </c>
    </row>
    <row r="47" spans="1:12">
      <c r="A47" t="s">
        <v>139</v>
      </c>
      <c r="B47" t="s">
        <v>111</v>
      </c>
      <c r="C47" t="s">
        <v>203</v>
      </c>
      <c r="D47" t="s">
        <v>204</v>
      </c>
      <c r="F47" s="2">
        <v>602</v>
      </c>
      <c r="G47" s="2">
        <v>1237</v>
      </c>
      <c r="H47" s="2">
        <v>107</v>
      </c>
      <c r="I47" s="2">
        <v>519</v>
      </c>
      <c r="J47" s="2">
        <v>53265.12203793212</v>
      </c>
      <c r="K47" s="2">
        <v>53265.12203793213</v>
      </c>
      <c r="L47" s="3">
        <v>0.9214793250539808</v>
      </c>
    </row>
    <row r="48" spans="1:12">
      <c r="A48" t="s">
        <v>179</v>
      </c>
      <c r="B48" t="s">
        <v>111</v>
      </c>
      <c r="C48" t="s">
        <v>203</v>
      </c>
      <c r="D48" t="s">
        <v>204</v>
      </c>
      <c r="F48" s="2">
        <v>602</v>
      </c>
      <c r="G48" s="2">
        <v>1237</v>
      </c>
      <c r="H48" s="2">
        <v>107</v>
      </c>
      <c r="I48" s="2">
        <v>519</v>
      </c>
      <c r="J48" s="2">
        <v>53260.08276696004</v>
      </c>
      <c r="K48" s="2">
        <v>53260.08276696007</v>
      </c>
      <c r="L48" s="3">
        <v>0.9213921463554922</v>
      </c>
    </row>
    <row r="49" spans="1:12">
      <c r="A49" t="s">
        <v>173</v>
      </c>
      <c r="B49" t="s">
        <v>111</v>
      </c>
      <c r="C49" t="s">
        <v>203</v>
      </c>
      <c r="D49" t="s">
        <v>204</v>
      </c>
      <c r="F49" s="2">
        <v>602</v>
      </c>
      <c r="G49" s="2">
        <v>1237</v>
      </c>
      <c r="H49" s="2">
        <v>107</v>
      </c>
      <c r="I49" s="2">
        <v>519</v>
      </c>
      <c r="J49" s="2">
        <v>53139.66665224629</v>
      </c>
      <c r="K49" s="2">
        <v>53139.66665224633</v>
      </c>
      <c r="L49" s="3">
        <v>0.9193089640428143</v>
      </c>
    </row>
    <row r="50" spans="1:12">
      <c r="A50" t="s">
        <v>168</v>
      </c>
      <c r="B50" t="s">
        <v>111</v>
      </c>
      <c r="C50" t="s">
        <v>203</v>
      </c>
      <c r="D50" t="s">
        <v>204</v>
      </c>
      <c r="F50" s="2">
        <v>602</v>
      </c>
      <c r="G50" s="2">
        <v>1237</v>
      </c>
      <c r="H50" s="2">
        <v>107</v>
      </c>
      <c r="I50" s="2">
        <v>519</v>
      </c>
      <c r="J50" s="2">
        <v>53128.83125097577</v>
      </c>
      <c r="K50" s="2">
        <v>53128.83125097583</v>
      </c>
      <c r="L50" s="3">
        <v>0.9191215130830224</v>
      </c>
    </row>
    <row r="51" spans="1:12">
      <c r="A51" t="s">
        <v>141</v>
      </c>
      <c r="B51" t="s">
        <v>111</v>
      </c>
      <c r="C51" t="s">
        <v>203</v>
      </c>
      <c r="D51" t="s">
        <v>204</v>
      </c>
      <c r="F51" s="2">
        <v>602</v>
      </c>
      <c r="G51" s="2">
        <v>1237</v>
      </c>
      <c r="H51" s="2">
        <v>107</v>
      </c>
      <c r="I51" s="2">
        <v>519</v>
      </c>
      <c r="J51" s="2">
        <v>53095.20160828637</v>
      </c>
      <c r="K51" s="2">
        <v>53095.20160828644</v>
      </c>
      <c r="L51" s="3">
        <v>0.9185397248647367</v>
      </c>
    </row>
    <row r="52" spans="1:12">
      <c r="A52" t="s">
        <v>146</v>
      </c>
      <c r="B52" t="s">
        <v>111</v>
      </c>
      <c r="C52" t="s">
        <v>203</v>
      </c>
      <c r="D52" t="s">
        <v>204</v>
      </c>
      <c r="F52" s="2">
        <v>602</v>
      </c>
      <c r="G52" s="2">
        <v>1237</v>
      </c>
      <c r="H52" s="2">
        <v>107</v>
      </c>
      <c r="I52" s="2">
        <v>519</v>
      </c>
      <c r="J52" s="2">
        <v>51719.10655223607</v>
      </c>
      <c r="K52" s="2">
        <v>51719.10655223613</v>
      </c>
      <c r="L52" s="3">
        <v>0.8947334686328194</v>
      </c>
    </row>
    <row r="53" spans="1:12">
      <c r="A53" t="s">
        <v>176</v>
      </c>
      <c r="B53" t="s">
        <v>111</v>
      </c>
      <c r="C53" t="s">
        <v>203</v>
      </c>
      <c r="D53" t="s">
        <v>204</v>
      </c>
      <c r="F53" s="2">
        <v>602</v>
      </c>
      <c r="G53" s="2">
        <v>1237</v>
      </c>
      <c r="H53" s="2">
        <v>107</v>
      </c>
      <c r="I53" s="2">
        <v>519</v>
      </c>
      <c r="J53" s="2">
        <v>51679.48508251968</v>
      </c>
      <c r="K53" s="2">
        <v>51679.48508251973</v>
      </c>
      <c r="L53" s="3">
        <v>0.8940480226265958</v>
      </c>
    </row>
    <row r="54" spans="1:12">
      <c r="A54" t="s">
        <v>142</v>
      </c>
      <c r="B54" t="s">
        <v>111</v>
      </c>
      <c r="C54" t="s">
        <v>203</v>
      </c>
      <c r="D54" t="s">
        <v>204</v>
      </c>
      <c r="F54" s="2">
        <v>602</v>
      </c>
      <c r="G54" s="2">
        <v>1237</v>
      </c>
      <c r="H54" s="2">
        <v>107</v>
      </c>
      <c r="I54" s="2">
        <v>519</v>
      </c>
      <c r="J54" s="2">
        <v>51077.29973138968</v>
      </c>
      <c r="K54" s="2">
        <v>51077.29973138974</v>
      </c>
      <c r="L54" s="3">
        <v>0.8836302984257295</v>
      </c>
    </row>
    <row r="55" spans="1:12">
      <c r="A55" t="s">
        <v>170</v>
      </c>
      <c r="B55" t="s">
        <v>111</v>
      </c>
      <c r="C55" t="s">
        <v>203</v>
      </c>
      <c r="D55" t="s">
        <v>204</v>
      </c>
      <c r="F55" s="2">
        <v>602</v>
      </c>
      <c r="G55" s="2">
        <v>1237</v>
      </c>
      <c r="H55" s="2">
        <v>107</v>
      </c>
      <c r="I55" s="2">
        <v>519</v>
      </c>
      <c r="J55" s="2">
        <v>50905.51347080346</v>
      </c>
      <c r="K55" s="2">
        <v>50905.5134708035</v>
      </c>
      <c r="L55" s="3">
        <v>0.8806584196164438</v>
      </c>
    </row>
    <row r="56" spans="1:12">
      <c r="A56" t="s">
        <v>134</v>
      </c>
      <c r="B56" t="s">
        <v>111</v>
      </c>
      <c r="C56" t="s">
        <v>203</v>
      </c>
      <c r="D56" t="s">
        <v>204</v>
      </c>
      <c r="F56" s="2">
        <v>602</v>
      </c>
      <c r="G56" s="2">
        <v>1237</v>
      </c>
      <c r="H56" s="2">
        <v>107</v>
      </c>
      <c r="I56" s="2">
        <v>519</v>
      </c>
      <c r="J56" s="2">
        <v>50691.18139058378</v>
      </c>
      <c r="K56" s="2">
        <v>50691.18139058386</v>
      </c>
      <c r="L56" s="3">
        <v>0.8769505039473953</v>
      </c>
    </row>
    <row r="57" spans="1:12">
      <c r="A57" t="s">
        <v>151</v>
      </c>
      <c r="B57" t="s">
        <v>111</v>
      </c>
      <c r="C57" t="s">
        <v>203</v>
      </c>
      <c r="D57" t="s">
        <v>204</v>
      </c>
      <c r="F57" s="2">
        <v>602</v>
      </c>
      <c r="G57" s="2">
        <v>1237</v>
      </c>
      <c r="H57" s="2">
        <v>107</v>
      </c>
      <c r="I57" s="2">
        <v>519</v>
      </c>
      <c r="J57" s="2">
        <v>50645.33805207426</v>
      </c>
      <c r="K57" s="2">
        <v>50645.33805207431</v>
      </c>
      <c r="L57" s="3">
        <v>0.8761574204621476</v>
      </c>
    </row>
    <row r="58" spans="1:12">
      <c r="A58" t="s">
        <v>115</v>
      </c>
      <c r="B58" t="s">
        <v>111</v>
      </c>
      <c r="C58" t="s">
        <v>203</v>
      </c>
      <c r="D58" t="s">
        <v>204</v>
      </c>
      <c r="F58" s="2">
        <v>602</v>
      </c>
      <c r="G58" s="2">
        <v>1237</v>
      </c>
      <c r="H58" s="2">
        <v>107</v>
      </c>
      <c r="I58" s="2">
        <v>519</v>
      </c>
      <c r="J58" s="2">
        <v>50541.78809808929</v>
      </c>
      <c r="K58" s="2">
        <v>50541.78809808937</v>
      </c>
      <c r="L58" s="3">
        <v>0.8743660204229348</v>
      </c>
    </row>
    <row r="59" spans="1:12">
      <c r="A59" t="s">
        <v>162</v>
      </c>
      <c r="B59" t="s">
        <v>111</v>
      </c>
      <c r="C59" t="s">
        <v>203</v>
      </c>
      <c r="D59" t="s">
        <v>204</v>
      </c>
      <c r="F59" s="2">
        <v>602</v>
      </c>
      <c r="G59" s="2">
        <v>1237</v>
      </c>
      <c r="H59" s="2">
        <v>107</v>
      </c>
      <c r="I59" s="2">
        <v>519</v>
      </c>
      <c r="J59" s="2">
        <v>50349.83961350979</v>
      </c>
      <c r="K59" s="2">
        <v>50349.83961350987</v>
      </c>
      <c r="L59" s="3">
        <v>0.8710453378965812</v>
      </c>
    </row>
    <row r="60" spans="1:12">
      <c r="A60" t="s">
        <v>148</v>
      </c>
      <c r="B60" t="s">
        <v>111</v>
      </c>
      <c r="C60" t="s">
        <v>203</v>
      </c>
      <c r="D60" t="s">
        <v>204</v>
      </c>
      <c r="F60" s="2">
        <v>602</v>
      </c>
      <c r="G60" s="2">
        <v>1237</v>
      </c>
      <c r="H60" s="2">
        <v>107</v>
      </c>
      <c r="I60" s="2">
        <v>519</v>
      </c>
      <c r="J60" s="2">
        <v>50153.39119504667</v>
      </c>
      <c r="K60" s="2">
        <v>50153.39119504673</v>
      </c>
      <c r="L60" s="3">
        <v>0.8676468071295924</v>
      </c>
    </row>
    <row r="61" spans="1:12">
      <c r="A61" t="s">
        <v>180</v>
      </c>
      <c r="B61" t="s">
        <v>111</v>
      </c>
      <c r="C61" t="s">
        <v>203</v>
      </c>
      <c r="D61" t="s">
        <v>204</v>
      </c>
      <c r="F61" s="2">
        <v>602</v>
      </c>
      <c r="G61" s="2">
        <v>1237</v>
      </c>
      <c r="H61" s="2">
        <v>107</v>
      </c>
      <c r="I61" s="2">
        <v>519</v>
      </c>
      <c r="J61" s="2">
        <v>50003.7356808273</v>
      </c>
      <c r="K61" s="2">
        <v>50003.73568082735</v>
      </c>
      <c r="L61" s="3">
        <v>0.865057787205161</v>
      </c>
    </row>
    <row r="62" spans="1:12">
      <c r="A62" t="s">
        <v>123</v>
      </c>
      <c r="B62" t="s">
        <v>111</v>
      </c>
      <c r="C62" t="s">
        <v>203</v>
      </c>
      <c r="D62" t="s">
        <v>204</v>
      </c>
      <c r="F62" s="2">
        <v>602</v>
      </c>
      <c r="G62" s="2">
        <v>1237</v>
      </c>
      <c r="H62" s="2">
        <v>107</v>
      </c>
      <c r="I62" s="2">
        <v>519</v>
      </c>
      <c r="J62" s="2">
        <v>50003.68293839283</v>
      </c>
      <c r="K62" s="2">
        <v>50003.68293839289</v>
      </c>
      <c r="L62" s="3">
        <v>0.8650568747682594</v>
      </c>
    </row>
    <row r="63" spans="1:12">
      <c r="A63" t="s">
        <v>154</v>
      </c>
      <c r="B63" t="s">
        <v>111</v>
      </c>
      <c r="C63" t="s">
        <v>203</v>
      </c>
      <c r="D63" t="s">
        <v>204</v>
      </c>
      <c r="F63" s="2">
        <v>602</v>
      </c>
      <c r="G63" s="2">
        <v>1237</v>
      </c>
      <c r="H63" s="2">
        <v>107</v>
      </c>
      <c r="I63" s="2">
        <v>519</v>
      </c>
      <c r="J63" s="2">
        <v>49910.51945820766</v>
      </c>
      <c r="K63" s="2">
        <v>49910.51945820776</v>
      </c>
      <c r="L63" s="3">
        <v>0.8634451593050045</v>
      </c>
    </row>
    <row r="64" spans="1:12">
      <c r="A64" t="s">
        <v>122</v>
      </c>
      <c r="B64" t="s">
        <v>111</v>
      </c>
      <c r="C64" t="s">
        <v>203</v>
      </c>
      <c r="D64" t="s">
        <v>204</v>
      </c>
      <c r="F64" s="2">
        <v>602</v>
      </c>
      <c r="G64" s="2">
        <v>1237</v>
      </c>
      <c r="H64" s="2">
        <v>107</v>
      </c>
      <c r="I64" s="2">
        <v>519</v>
      </c>
      <c r="J64" s="2">
        <v>49894.67144174766</v>
      </c>
      <c r="K64" s="2">
        <v>49894.67144174768</v>
      </c>
      <c r="L64" s="3">
        <v>0.8631709907881158</v>
      </c>
    </row>
    <row r="65" spans="1:12">
      <c r="A65" t="s">
        <v>171</v>
      </c>
      <c r="B65" t="s">
        <v>111</v>
      </c>
      <c r="C65" t="s">
        <v>203</v>
      </c>
      <c r="D65" t="s">
        <v>204</v>
      </c>
      <c r="F65" s="2">
        <v>602</v>
      </c>
      <c r="G65" s="2">
        <v>1237</v>
      </c>
      <c r="H65" s="2">
        <v>107</v>
      </c>
      <c r="I65" s="2">
        <v>519</v>
      </c>
      <c r="J65" s="2">
        <v>49795.94902953989</v>
      </c>
      <c r="K65" s="2">
        <v>49795.94902953997</v>
      </c>
      <c r="L65" s="3">
        <v>0.8614631065612833</v>
      </c>
    </row>
    <row r="66" spans="1:12">
      <c r="A66" t="s">
        <v>137</v>
      </c>
      <c r="B66" t="s">
        <v>111</v>
      </c>
      <c r="C66" t="s">
        <v>203</v>
      </c>
      <c r="D66" t="s">
        <v>204</v>
      </c>
      <c r="F66" s="2">
        <v>602</v>
      </c>
      <c r="G66" s="2">
        <v>1237</v>
      </c>
      <c r="H66" s="2">
        <v>107</v>
      </c>
      <c r="I66" s="2">
        <v>519</v>
      </c>
      <c r="J66" s="2">
        <v>49442.73952465433</v>
      </c>
      <c r="K66" s="2">
        <v>49442.73952465437</v>
      </c>
      <c r="L66" s="3">
        <v>0.85535263044273</v>
      </c>
    </row>
    <row r="67" spans="1:12">
      <c r="A67" t="s">
        <v>135</v>
      </c>
      <c r="B67" t="s">
        <v>111</v>
      </c>
      <c r="C67" t="s">
        <v>203</v>
      </c>
      <c r="D67" t="s">
        <v>204</v>
      </c>
      <c r="F67" s="2">
        <v>602</v>
      </c>
      <c r="G67" s="2">
        <v>1237</v>
      </c>
      <c r="H67" s="2">
        <v>107</v>
      </c>
      <c r="I67" s="2">
        <v>519</v>
      </c>
      <c r="J67" s="2">
        <v>49193.92503466665</v>
      </c>
      <c r="K67" s="2">
        <v>49193.92503466675</v>
      </c>
      <c r="L67" s="3">
        <v>0.851048173801587</v>
      </c>
    </row>
    <row r="68" spans="1:12">
      <c r="A68" t="s">
        <v>143</v>
      </c>
      <c r="B68" t="s">
        <v>111</v>
      </c>
      <c r="C68" t="s">
        <v>203</v>
      </c>
      <c r="D68" t="s">
        <v>204</v>
      </c>
      <c r="F68" s="2">
        <v>602</v>
      </c>
      <c r="G68" s="2">
        <v>1237</v>
      </c>
      <c r="H68" s="2">
        <v>107</v>
      </c>
      <c r="I68" s="2">
        <v>519</v>
      </c>
      <c r="J68" s="2">
        <v>49157.76774866727</v>
      </c>
      <c r="K68" s="2">
        <v>49157.76774866731</v>
      </c>
      <c r="L68" s="3">
        <v>0.8504226576997972</v>
      </c>
    </row>
    <row r="69" spans="1:12">
      <c r="A69" t="s">
        <v>164</v>
      </c>
      <c r="B69" t="s">
        <v>111</v>
      </c>
      <c r="C69" t="s">
        <v>203</v>
      </c>
      <c r="D69" t="s">
        <v>204</v>
      </c>
      <c r="F69" s="2">
        <v>602</v>
      </c>
      <c r="G69" s="2">
        <v>1237</v>
      </c>
      <c r="H69" s="2">
        <v>107</v>
      </c>
      <c r="I69" s="2">
        <v>519</v>
      </c>
      <c r="J69" s="2">
        <v>49142.22697046593</v>
      </c>
      <c r="K69" s="2">
        <v>49142.22697046597</v>
      </c>
      <c r="L69" s="3">
        <v>0.8501538043627563</v>
      </c>
    </row>
    <row r="70" spans="1:12">
      <c r="A70" t="s">
        <v>172</v>
      </c>
      <c r="B70" t="s">
        <v>111</v>
      </c>
      <c r="C70" t="s">
        <v>203</v>
      </c>
      <c r="D70" t="s">
        <v>204</v>
      </c>
      <c r="F70" s="2">
        <v>602</v>
      </c>
      <c r="G70" s="2">
        <v>1237</v>
      </c>
      <c r="H70" s="2">
        <v>107</v>
      </c>
      <c r="I70" s="2">
        <v>519</v>
      </c>
      <c r="J70" s="2">
        <v>49011.96713927171</v>
      </c>
      <c r="K70" s="2">
        <v>49011.96713927176</v>
      </c>
      <c r="L70" s="3">
        <v>0.8479003271015008</v>
      </c>
    </row>
    <row r="71" spans="1:12">
      <c r="A71" t="s">
        <v>163</v>
      </c>
      <c r="B71" t="s">
        <v>111</v>
      </c>
      <c r="C71" t="s">
        <v>203</v>
      </c>
      <c r="D71" t="s">
        <v>204</v>
      </c>
      <c r="F71" s="2">
        <v>602</v>
      </c>
      <c r="G71" s="2">
        <v>1237</v>
      </c>
      <c r="H71" s="2">
        <v>107</v>
      </c>
      <c r="I71" s="2">
        <v>519</v>
      </c>
      <c r="J71" s="2">
        <v>49010.95868732597</v>
      </c>
      <c r="K71" s="2">
        <v>49010.95868732607</v>
      </c>
      <c r="L71" s="3">
        <v>0.8478828810207872</v>
      </c>
    </row>
    <row r="72" spans="1:12">
      <c r="A72" t="s">
        <v>149</v>
      </c>
      <c r="B72" t="s">
        <v>111</v>
      </c>
      <c r="C72" t="s">
        <v>203</v>
      </c>
      <c r="D72" t="s">
        <v>204</v>
      </c>
      <c r="F72" s="2">
        <v>602</v>
      </c>
      <c r="G72" s="2">
        <v>1237</v>
      </c>
      <c r="H72" s="2">
        <v>107</v>
      </c>
      <c r="I72" s="2">
        <v>519</v>
      </c>
      <c r="J72" s="2">
        <v>48941.37425838195</v>
      </c>
      <c r="K72" s="2">
        <v>48941.37425838201</v>
      </c>
      <c r="L72" s="3">
        <v>0.8466790799185959</v>
      </c>
    </row>
    <row r="73" spans="1:12">
      <c r="A73" t="s">
        <v>130</v>
      </c>
      <c r="B73" t="s">
        <v>111</v>
      </c>
      <c r="C73" t="s">
        <v>203</v>
      </c>
      <c r="D73" t="s">
        <v>204</v>
      </c>
      <c r="F73" s="2">
        <v>602</v>
      </c>
      <c r="G73" s="2">
        <v>1237</v>
      </c>
      <c r="H73" s="2">
        <v>107</v>
      </c>
      <c r="I73" s="2">
        <v>519</v>
      </c>
      <c r="J73" s="2">
        <v>48783.15109135979</v>
      </c>
      <c r="K73" s="2">
        <v>48783.15109135985</v>
      </c>
      <c r="L73" s="3">
        <v>0.8439418407726562</v>
      </c>
    </row>
    <row r="74" spans="1:12">
      <c r="A74" t="s">
        <v>126</v>
      </c>
      <c r="B74" t="s">
        <v>111</v>
      </c>
      <c r="C74" t="s">
        <v>203</v>
      </c>
      <c r="D74" t="s">
        <v>204</v>
      </c>
      <c r="F74" s="2">
        <v>602</v>
      </c>
      <c r="G74" s="2">
        <v>1237</v>
      </c>
      <c r="H74" s="2">
        <v>107</v>
      </c>
      <c r="I74" s="2">
        <v>519</v>
      </c>
      <c r="J74" s="2">
        <v>48750.17299144276</v>
      </c>
      <c r="K74" s="2">
        <v>48750.17299144281</v>
      </c>
      <c r="L74" s="3">
        <v>0.8433713241552068</v>
      </c>
    </row>
    <row r="75" spans="1:12">
      <c r="A75" t="s">
        <v>124</v>
      </c>
      <c r="B75" t="s">
        <v>111</v>
      </c>
      <c r="C75" t="s">
        <v>203</v>
      </c>
      <c r="D75" t="s">
        <v>204</v>
      </c>
      <c r="F75" s="2">
        <v>602</v>
      </c>
      <c r="G75" s="2">
        <v>1237</v>
      </c>
      <c r="H75" s="2">
        <v>107</v>
      </c>
      <c r="I75" s="2">
        <v>519</v>
      </c>
      <c r="J75" s="2">
        <v>48735.69894531782</v>
      </c>
      <c r="K75" s="2">
        <v>48735.69894531791</v>
      </c>
      <c r="L75" s="3">
        <v>0.8431209251371684</v>
      </c>
    </row>
    <row r="76" spans="1:12">
      <c r="A76" t="s">
        <v>155</v>
      </c>
      <c r="B76" t="s">
        <v>111</v>
      </c>
      <c r="C76" t="s">
        <v>203</v>
      </c>
      <c r="D76" t="s">
        <v>204</v>
      </c>
      <c r="F76" s="2">
        <v>602</v>
      </c>
      <c r="G76" s="2">
        <v>1237</v>
      </c>
      <c r="H76" s="2">
        <v>107</v>
      </c>
      <c r="I76" s="2">
        <v>519</v>
      </c>
      <c r="J76" s="2">
        <v>48477.55072712453</v>
      </c>
      <c r="K76" s="2">
        <v>48477.55072712462</v>
      </c>
      <c r="L76" s="3">
        <v>0.83865499627484</v>
      </c>
    </row>
    <row r="77" spans="1:12">
      <c r="A77" t="s">
        <v>156</v>
      </c>
      <c r="B77" t="s">
        <v>111</v>
      </c>
      <c r="C77" t="s">
        <v>203</v>
      </c>
      <c r="D77" t="s">
        <v>204</v>
      </c>
      <c r="F77" s="2">
        <v>602</v>
      </c>
      <c r="G77" s="2">
        <v>1237</v>
      </c>
      <c r="H77" s="2">
        <v>107</v>
      </c>
      <c r="I77" s="2">
        <v>519</v>
      </c>
      <c r="J77" s="2">
        <v>48427.81705450453</v>
      </c>
      <c r="K77" s="2">
        <v>48427.81705450462</v>
      </c>
      <c r="L77" s="3">
        <v>0.8377946105416449</v>
      </c>
    </row>
    <row r="78" spans="1:12">
      <c r="A78" t="s">
        <v>181</v>
      </c>
      <c r="B78" t="s">
        <v>111</v>
      </c>
      <c r="C78" t="s">
        <v>203</v>
      </c>
      <c r="D78" t="s">
        <v>204</v>
      </c>
      <c r="F78" s="2">
        <v>602</v>
      </c>
      <c r="G78" s="2">
        <v>1237</v>
      </c>
      <c r="H78" s="2">
        <v>107</v>
      </c>
      <c r="I78" s="2">
        <v>519</v>
      </c>
      <c r="J78" s="2">
        <v>48221.58426184893</v>
      </c>
      <c r="K78" s="2">
        <v>48221.58426184899</v>
      </c>
      <c r="L78" s="3">
        <v>0.8342268114395428</v>
      </c>
    </row>
    <row r="79" spans="1:12">
      <c r="A79" t="s">
        <v>177</v>
      </c>
      <c r="B79" t="s">
        <v>111</v>
      </c>
      <c r="C79" t="s">
        <v>203</v>
      </c>
      <c r="D79" t="s">
        <v>204</v>
      </c>
      <c r="F79" s="2">
        <v>602</v>
      </c>
      <c r="G79" s="2">
        <v>1237</v>
      </c>
      <c r="H79" s="2">
        <v>107</v>
      </c>
      <c r="I79" s="2">
        <v>519</v>
      </c>
      <c r="J79" s="2">
        <v>47963.60321240911</v>
      </c>
      <c r="K79" s="2">
        <v>47963.60321240917</v>
      </c>
      <c r="L79" s="3">
        <v>0.8297637745737824</v>
      </c>
    </row>
    <row r="80" spans="1:12">
      <c r="A80" t="s">
        <v>118</v>
      </c>
      <c r="B80" t="s">
        <v>111</v>
      </c>
      <c r="C80" t="s">
        <v>203</v>
      </c>
      <c r="D80" t="s">
        <v>204</v>
      </c>
      <c r="F80" s="2">
        <v>602</v>
      </c>
      <c r="G80" s="2">
        <v>1237</v>
      </c>
      <c r="H80" s="2">
        <v>107</v>
      </c>
      <c r="I80" s="2">
        <v>519</v>
      </c>
      <c r="J80" s="2">
        <v>47953.92017144537</v>
      </c>
      <c r="K80" s="2">
        <v>47953.92017144541</v>
      </c>
      <c r="L80" s="3">
        <v>0.8295962592896646</v>
      </c>
    </row>
    <row r="81" spans="1:12">
      <c r="A81" t="s">
        <v>125</v>
      </c>
      <c r="B81" t="s">
        <v>111</v>
      </c>
      <c r="C81" t="s">
        <v>203</v>
      </c>
      <c r="D81" t="s">
        <v>204</v>
      </c>
      <c r="F81" s="2">
        <v>602</v>
      </c>
      <c r="G81" s="2">
        <v>1237</v>
      </c>
      <c r="H81" s="2">
        <v>107</v>
      </c>
      <c r="I81" s="2">
        <v>519</v>
      </c>
      <c r="J81" s="2">
        <v>47731.02630713621</v>
      </c>
      <c r="K81" s="2">
        <v>47731.02630713624</v>
      </c>
      <c r="L81" s="3">
        <v>0.8257402259270448</v>
      </c>
    </row>
    <row r="82" spans="1:12">
      <c r="A82" t="s">
        <v>169</v>
      </c>
      <c r="B82" t="s">
        <v>111</v>
      </c>
      <c r="C82" t="s">
        <v>203</v>
      </c>
      <c r="D82" t="s">
        <v>204</v>
      </c>
      <c r="F82" s="2">
        <v>602</v>
      </c>
      <c r="G82" s="2">
        <v>1237</v>
      </c>
      <c r="H82" s="2">
        <v>107</v>
      </c>
      <c r="I82" s="2">
        <v>519</v>
      </c>
      <c r="J82" s="2">
        <v>47610.04922965683</v>
      </c>
      <c r="K82" s="2">
        <v>47610.04922965689</v>
      </c>
      <c r="L82" s="3">
        <v>0.8236473390352566</v>
      </c>
    </row>
    <row r="83" spans="1:12">
      <c r="A83" t="s">
        <v>133</v>
      </c>
      <c r="B83" t="s">
        <v>111</v>
      </c>
      <c r="C83" t="s">
        <v>203</v>
      </c>
      <c r="D83" t="s">
        <v>204</v>
      </c>
      <c r="F83" s="2">
        <v>602</v>
      </c>
      <c r="G83" s="2">
        <v>1237</v>
      </c>
      <c r="H83" s="2">
        <v>107</v>
      </c>
      <c r="I83" s="2">
        <v>519</v>
      </c>
      <c r="J83" s="2">
        <v>47429.50195153581</v>
      </c>
      <c r="K83" s="2">
        <v>47429.50195153589</v>
      </c>
      <c r="L83" s="3">
        <v>0.8205238958210497</v>
      </c>
    </row>
    <row r="84" spans="1:12">
      <c r="A84" t="s">
        <v>136</v>
      </c>
      <c r="B84" t="s">
        <v>111</v>
      </c>
      <c r="C84" t="s">
        <v>203</v>
      </c>
      <c r="D84" t="s">
        <v>204</v>
      </c>
      <c r="F84" s="2">
        <v>602</v>
      </c>
      <c r="G84" s="2">
        <v>1237</v>
      </c>
      <c r="H84" s="2">
        <v>107</v>
      </c>
      <c r="I84" s="2">
        <v>519</v>
      </c>
      <c r="J84" s="2">
        <v>47254.81847693193</v>
      </c>
      <c r="K84" s="2">
        <v>47254.81847693199</v>
      </c>
      <c r="L84" s="3">
        <v>0.8175018956055722</v>
      </c>
    </row>
    <row r="85" spans="1:12">
      <c r="A85" t="s">
        <v>161</v>
      </c>
      <c r="B85" t="s">
        <v>111</v>
      </c>
      <c r="C85" t="s">
        <v>203</v>
      </c>
      <c r="D85" t="s">
        <v>204</v>
      </c>
      <c r="F85" s="2">
        <v>602</v>
      </c>
      <c r="G85" s="2">
        <v>1237</v>
      </c>
      <c r="H85" s="2">
        <v>107</v>
      </c>
      <c r="I85" s="2">
        <v>519</v>
      </c>
      <c r="J85" s="2">
        <v>47152.52742458558</v>
      </c>
      <c r="K85" s="2">
        <v>47152.52742458569</v>
      </c>
      <c r="L85" s="3">
        <v>0.8157322743925007</v>
      </c>
    </row>
    <row r="86" spans="1:12">
      <c r="A86" t="s">
        <v>189</v>
      </c>
      <c r="B86" t="s">
        <v>111</v>
      </c>
      <c r="C86" t="s">
        <v>203</v>
      </c>
      <c r="D86" t="s">
        <v>204</v>
      </c>
      <c r="F86" s="2">
        <v>602</v>
      </c>
      <c r="G86" s="2">
        <v>1237</v>
      </c>
      <c r="H86" s="2">
        <v>107</v>
      </c>
      <c r="I86" s="2">
        <v>519</v>
      </c>
      <c r="J86" s="2">
        <v>46976.37264987193</v>
      </c>
      <c r="K86" s="2">
        <v>46976.37264987201</v>
      </c>
      <c r="L86" s="3">
        <v>0.8126848208863849</v>
      </c>
    </row>
    <row r="87" spans="1:12">
      <c r="A87" t="s">
        <v>201</v>
      </c>
      <c r="B87" t="s">
        <v>111</v>
      </c>
      <c r="C87" t="s">
        <v>203</v>
      </c>
      <c r="D87" t="s">
        <v>204</v>
      </c>
      <c r="F87" s="2">
        <v>602</v>
      </c>
      <c r="G87" s="2">
        <v>1237</v>
      </c>
      <c r="H87" s="2">
        <v>107</v>
      </c>
      <c r="I87" s="2">
        <v>519</v>
      </c>
      <c r="J87" s="2">
        <v>46639.09034743036</v>
      </c>
      <c r="K87" s="2">
        <v>46639.09034743044</v>
      </c>
      <c r="L87" s="3">
        <v>0.806849883191411</v>
      </c>
    </row>
    <row r="88" spans="1:12">
      <c r="A88" t="s">
        <v>185</v>
      </c>
      <c r="B88" t="s">
        <v>111</v>
      </c>
      <c r="C88" t="s">
        <v>203</v>
      </c>
      <c r="D88" t="s">
        <v>204</v>
      </c>
      <c r="F88" s="2">
        <v>602</v>
      </c>
      <c r="G88" s="2">
        <v>1237</v>
      </c>
      <c r="H88" s="2">
        <v>107</v>
      </c>
      <c r="I88" s="2">
        <v>519</v>
      </c>
      <c r="J88" s="2">
        <v>46477.76485224816</v>
      </c>
      <c r="K88" s="2">
        <v>46477.76485224826</v>
      </c>
      <c r="L88" s="3">
        <v>0.8040589741926742</v>
      </c>
    </row>
    <row r="89" spans="1:12">
      <c r="A89" t="s">
        <v>194</v>
      </c>
      <c r="B89" t="s">
        <v>111</v>
      </c>
      <c r="C89" t="s">
        <v>203</v>
      </c>
      <c r="D89" t="s">
        <v>204</v>
      </c>
      <c r="F89" s="2">
        <v>602</v>
      </c>
      <c r="G89" s="2">
        <v>1237</v>
      </c>
      <c r="H89" s="2">
        <v>107</v>
      </c>
      <c r="I89" s="2">
        <v>519</v>
      </c>
      <c r="J89" s="2">
        <v>46252.75565347217</v>
      </c>
      <c r="K89" s="2">
        <v>46252.75565347222</v>
      </c>
      <c r="L89" s="3">
        <v>0.8001663458331372</v>
      </c>
    </row>
    <row r="90" spans="1:12">
      <c r="A90" t="s">
        <v>197</v>
      </c>
      <c r="B90" t="s">
        <v>111</v>
      </c>
      <c r="C90" t="s">
        <v>203</v>
      </c>
      <c r="D90" t="s">
        <v>204</v>
      </c>
      <c r="F90" s="2">
        <v>602</v>
      </c>
      <c r="G90" s="2">
        <v>1237</v>
      </c>
      <c r="H90" s="2">
        <v>107</v>
      </c>
      <c r="I90" s="2">
        <v>519</v>
      </c>
      <c r="J90" s="2">
        <v>46172.74401554668</v>
      </c>
      <c r="K90" s="2">
        <v>46172.74401554674</v>
      </c>
      <c r="L90" s="3">
        <v>0.7987821554419177</v>
      </c>
    </row>
    <row r="91" spans="1:12">
      <c r="A91" t="s">
        <v>190</v>
      </c>
      <c r="B91" t="s">
        <v>111</v>
      </c>
      <c r="C91" t="s">
        <v>203</v>
      </c>
      <c r="D91" t="s">
        <v>204</v>
      </c>
      <c r="F91" s="2">
        <v>602</v>
      </c>
      <c r="G91" s="2">
        <v>1237</v>
      </c>
      <c r="H91" s="2">
        <v>107</v>
      </c>
      <c r="I91" s="2">
        <v>519</v>
      </c>
      <c r="J91" s="2">
        <v>45750.07379313288</v>
      </c>
      <c r="K91" s="2">
        <v>45750.07379313295</v>
      </c>
      <c r="L91" s="3">
        <v>0.791470018411744</v>
      </c>
    </row>
    <row r="92" spans="1:12">
      <c r="A92" t="s">
        <v>192</v>
      </c>
      <c r="B92" t="s">
        <v>111</v>
      </c>
      <c r="C92" t="s">
        <v>203</v>
      </c>
      <c r="D92" t="s">
        <v>204</v>
      </c>
      <c r="F92" s="2">
        <v>602</v>
      </c>
      <c r="G92" s="2">
        <v>1237</v>
      </c>
      <c r="H92" s="2">
        <v>107</v>
      </c>
      <c r="I92" s="2">
        <v>519</v>
      </c>
      <c r="J92" s="2">
        <v>45665.72617578644</v>
      </c>
      <c r="K92" s="2">
        <v>45665.72617578645</v>
      </c>
      <c r="L92" s="3">
        <v>0.7900108161696655</v>
      </c>
    </row>
    <row r="93" spans="1:12">
      <c r="A93" t="s">
        <v>202</v>
      </c>
      <c r="B93" t="s">
        <v>111</v>
      </c>
      <c r="C93" t="s">
        <v>203</v>
      </c>
      <c r="D93" t="s">
        <v>204</v>
      </c>
      <c r="F93" s="2">
        <v>602</v>
      </c>
      <c r="G93" s="2">
        <v>1237</v>
      </c>
      <c r="H93" s="2">
        <v>107</v>
      </c>
      <c r="I93" s="2">
        <v>519</v>
      </c>
      <c r="J93" s="2">
        <v>45560.41477683529</v>
      </c>
      <c r="K93" s="2">
        <v>45560.41477683534</v>
      </c>
      <c r="L93" s="3">
        <v>0.7881889433734882</v>
      </c>
    </row>
    <row r="94" spans="1:12">
      <c r="A94" t="s">
        <v>186</v>
      </c>
      <c r="B94" t="s">
        <v>111</v>
      </c>
      <c r="C94" t="s">
        <v>203</v>
      </c>
      <c r="D94" t="s">
        <v>204</v>
      </c>
      <c r="F94" s="2">
        <v>602</v>
      </c>
      <c r="G94" s="2">
        <v>1237</v>
      </c>
      <c r="H94" s="2">
        <v>107</v>
      </c>
      <c r="I94" s="2">
        <v>519</v>
      </c>
      <c r="J94" s="2">
        <v>45445.38248253366</v>
      </c>
      <c r="K94" s="2">
        <v>45445.38248253372</v>
      </c>
      <c r="L94" s="3">
        <v>0.7861989004174805</v>
      </c>
    </row>
    <row r="95" spans="1:12">
      <c r="A95" t="s">
        <v>198</v>
      </c>
      <c r="B95" t="s">
        <v>111</v>
      </c>
      <c r="C95" t="s">
        <v>203</v>
      </c>
      <c r="D95" t="s">
        <v>204</v>
      </c>
      <c r="F95" s="2">
        <v>602</v>
      </c>
      <c r="G95" s="2">
        <v>1237</v>
      </c>
      <c r="H95" s="2">
        <v>107</v>
      </c>
      <c r="I95" s="2">
        <v>519</v>
      </c>
      <c r="J95" s="2">
        <v>45055.81916169953</v>
      </c>
      <c r="K95" s="2">
        <v>45055.8191616996</v>
      </c>
      <c r="L95" s="3">
        <v>0.779459508255901</v>
      </c>
    </row>
  </sheetData>
  <autoFilter ref="A6:L95"/>
  <conditionalFormatting sqref="J7:J95">
    <cfRule type="colorScale" priority="1">
      <colorScale>
        <cfvo type="min" val="0"/>
        <cfvo type="percentile" val="50"/>
        <cfvo type="max" val="0"/>
        <color rgb="FFFF0000"/>
        <color rgb="FFFFD966"/>
        <color rgb="FF00B050"/>
      </colorScale>
    </cfRule>
  </conditionalFormatting>
  <conditionalFormatting sqref="K7:K95">
    <cfRule type="colorScale" priority="2">
      <colorScale>
        <cfvo type="min" val="0"/>
        <cfvo type="percentile" val="50"/>
        <cfvo type="max" val="0"/>
        <color rgb="FFFF0000"/>
        <color rgb="FFFFD966"/>
        <color rgb="FF00B050"/>
      </colorScale>
    </cfRule>
  </conditionalFormatting>
  <conditionalFormatting sqref="L7:L95">
    <cfRule type="colorScale" priority="3">
      <colorScale>
        <cfvo type="min" val="0"/>
        <cfvo type="percentile" val="50"/>
        <cfvo type="max" val="0"/>
        <color rgb="FFFF0000"/>
        <color rgb="FFFFD966"/>
        <color rgb="FF00B05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7"/>
  <sheetViews>
    <sheetView workbookViewId="0"/>
  </sheetViews>
  <sheetFormatPr defaultRowHeight="15"/>
  <sheetData>
    <row r="1" spans="1:4">
      <c r="A1" t="s">
        <v>213</v>
      </c>
      <c r="B1" t="s">
        <v>210</v>
      </c>
      <c r="C1" t="s">
        <v>211</v>
      </c>
      <c r="D1" t="s">
        <v>214</v>
      </c>
    </row>
    <row r="2" spans="1:4">
      <c r="A2" t="s">
        <v>114</v>
      </c>
      <c r="B2">
        <v>57803.9252642069</v>
      </c>
      <c r="C2">
        <v>57803.9252642069</v>
      </c>
      <c r="D2">
        <v>1</v>
      </c>
    </row>
    <row r="3" spans="1:4">
      <c r="A3" t="s">
        <v>158</v>
      </c>
      <c r="B3">
        <v>56667.27005914134</v>
      </c>
      <c r="C3">
        <v>56667.27005914143</v>
      </c>
      <c r="D3">
        <v>0.9803360204368448</v>
      </c>
    </row>
    <row r="4" spans="1:4">
      <c r="A4" t="s">
        <v>159</v>
      </c>
      <c r="B4">
        <v>56608.02235842187</v>
      </c>
      <c r="C4">
        <v>56608.02235842193</v>
      </c>
      <c r="D4">
        <v>0.9793110433189642</v>
      </c>
    </row>
    <row r="5" spans="1:4">
      <c r="A5" t="s">
        <v>129</v>
      </c>
      <c r="B5">
        <v>56579.38027127238</v>
      </c>
      <c r="C5">
        <v>56579.38027127246</v>
      </c>
      <c r="D5">
        <v>0.978815539129265</v>
      </c>
    </row>
    <row r="6" spans="1:4">
      <c r="A6" t="s">
        <v>131</v>
      </c>
      <c r="B6">
        <v>56549.95562866992</v>
      </c>
      <c r="C6">
        <v>56549.95562866997</v>
      </c>
      <c r="D6">
        <v>0.9783064968372757</v>
      </c>
    </row>
    <row r="7" spans="1:4">
      <c r="A7" t="s">
        <v>199</v>
      </c>
      <c r="B7">
        <v>56277.86962770874</v>
      </c>
      <c r="C7">
        <v>56277.86962770875</v>
      </c>
      <c r="D7">
        <v>0.9735994462396291</v>
      </c>
    </row>
    <row r="8" spans="1:4">
      <c r="A8" t="s">
        <v>187</v>
      </c>
      <c r="B8">
        <v>56218.83960809651</v>
      </c>
      <c r="C8">
        <v>56218.83960809655</v>
      </c>
      <c r="D8">
        <v>0.9725782349751275</v>
      </c>
    </row>
    <row r="9" spans="1:4">
      <c r="A9" t="s">
        <v>144</v>
      </c>
      <c r="B9">
        <v>56113.46798721024</v>
      </c>
      <c r="C9">
        <v>56113.46798721032</v>
      </c>
      <c r="D9">
        <v>0.9707553203477102</v>
      </c>
    </row>
    <row r="10" spans="1:4">
      <c r="A10" t="s">
        <v>121</v>
      </c>
      <c r="B10">
        <v>56112.46590753766</v>
      </c>
      <c r="C10">
        <v>56112.46590753768</v>
      </c>
      <c r="D10">
        <v>0.9707379845064499</v>
      </c>
    </row>
    <row r="11" spans="1:4">
      <c r="A11" t="s">
        <v>174</v>
      </c>
      <c r="B11">
        <v>56065.19583294614</v>
      </c>
      <c r="C11">
        <v>56065.19583294619</v>
      </c>
      <c r="D11">
        <v>0.9699202186821492</v>
      </c>
    </row>
    <row r="12" spans="1:4">
      <c r="A12" t="s">
        <v>193</v>
      </c>
      <c r="B12">
        <v>56032.09372137462</v>
      </c>
      <c r="C12">
        <v>56032.09372137461</v>
      </c>
      <c r="D12">
        <v>0.9693475566800404</v>
      </c>
    </row>
    <row r="13" spans="1:4">
      <c r="A13" t="s">
        <v>182</v>
      </c>
      <c r="B13">
        <v>56012.5949863916</v>
      </c>
      <c r="C13">
        <v>56012.59498639162</v>
      </c>
      <c r="D13">
        <v>0.9690102312320905</v>
      </c>
    </row>
    <row r="14" spans="1:4">
      <c r="A14" t="s">
        <v>132</v>
      </c>
      <c r="B14">
        <v>55735.97820699715</v>
      </c>
      <c r="C14">
        <v>55735.9782069972</v>
      </c>
      <c r="D14">
        <v>0.9642247987873198</v>
      </c>
    </row>
    <row r="15" spans="1:4">
      <c r="A15" t="s">
        <v>165</v>
      </c>
      <c r="B15">
        <v>55658.71679827406</v>
      </c>
      <c r="C15">
        <v>55658.71679827408</v>
      </c>
      <c r="D15">
        <v>0.9628881869850943</v>
      </c>
    </row>
    <row r="16" spans="1:4">
      <c r="A16" t="s">
        <v>160</v>
      </c>
      <c r="B16">
        <v>55587.90280073042</v>
      </c>
      <c r="C16">
        <v>55587.90280073047</v>
      </c>
      <c r="D16">
        <v>0.9616631145143242</v>
      </c>
    </row>
    <row r="17" spans="1:4">
      <c r="A17" t="s">
        <v>138</v>
      </c>
      <c r="B17">
        <v>55559.57079402731</v>
      </c>
      <c r="C17">
        <v>55559.57079402735</v>
      </c>
      <c r="D17">
        <v>0.9611729746739308</v>
      </c>
    </row>
    <row r="18" spans="1:4">
      <c r="A18" t="s">
        <v>117</v>
      </c>
      <c r="B18">
        <v>55429.07391349591</v>
      </c>
      <c r="C18">
        <v>55429.07391349599</v>
      </c>
      <c r="D18">
        <v>0.9589153964915684</v>
      </c>
    </row>
    <row r="19" spans="1:4">
      <c r="A19" t="s">
        <v>150</v>
      </c>
      <c r="B19">
        <v>55233.32576179371</v>
      </c>
      <c r="C19">
        <v>55233.32576179381</v>
      </c>
      <c r="D19">
        <v>0.9555289802437534</v>
      </c>
    </row>
    <row r="20" spans="1:4">
      <c r="A20" t="s">
        <v>188</v>
      </c>
      <c r="B20">
        <v>55222.47187681573</v>
      </c>
      <c r="C20">
        <v>55222.47187681575</v>
      </c>
      <c r="D20">
        <v>0.95534120951835</v>
      </c>
    </row>
    <row r="21" spans="1:4">
      <c r="A21" t="s">
        <v>183</v>
      </c>
      <c r="B21">
        <v>55218.73015790095</v>
      </c>
      <c r="C21">
        <v>55218.73015790098</v>
      </c>
      <c r="D21">
        <v>0.9552764782929589</v>
      </c>
    </row>
    <row r="22" spans="1:4">
      <c r="A22" t="s">
        <v>119</v>
      </c>
      <c r="B22">
        <v>55192.94022347502</v>
      </c>
      <c r="C22">
        <v>55192.94022347509</v>
      </c>
      <c r="D22">
        <v>0.9548303159552278</v>
      </c>
    </row>
    <row r="23" spans="1:4">
      <c r="A23" t="s">
        <v>147</v>
      </c>
      <c r="B23">
        <v>55124.90851331141</v>
      </c>
      <c r="C23">
        <v>55124.90851331148</v>
      </c>
      <c r="D23">
        <v>0.9536533766755395</v>
      </c>
    </row>
    <row r="24" spans="1:4">
      <c r="A24" t="s">
        <v>200</v>
      </c>
      <c r="B24">
        <v>55075.26180156366</v>
      </c>
      <c r="C24">
        <v>55075.26180156366</v>
      </c>
      <c r="D24">
        <v>0.9527944953535383</v>
      </c>
    </row>
    <row r="25" spans="1:4">
      <c r="A25" t="s">
        <v>191</v>
      </c>
      <c r="B25">
        <v>54933.86133632886</v>
      </c>
      <c r="C25">
        <v>54933.86133632886</v>
      </c>
      <c r="D25">
        <v>0.9503482866473216</v>
      </c>
    </row>
    <row r="26" spans="1:4">
      <c r="A26" t="s">
        <v>195</v>
      </c>
      <c r="B26">
        <v>54916.743794236</v>
      </c>
      <c r="C26">
        <v>54916.74379423603</v>
      </c>
      <c r="D26">
        <v>0.9500521555106454</v>
      </c>
    </row>
    <row r="27" spans="1:4">
      <c r="A27" t="s">
        <v>140</v>
      </c>
      <c r="B27">
        <v>54856.66138210355</v>
      </c>
      <c r="C27">
        <v>54856.66138210359</v>
      </c>
      <c r="D27">
        <v>0.9490127379995019</v>
      </c>
    </row>
    <row r="28" spans="1:4">
      <c r="A28" t="s">
        <v>153</v>
      </c>
      <c r="B28">
        <v>54765.2252543207</v>
      </c>
      <c r="C28">
        <v>54765.22525432071</v>
      </c>
      <c r="D28">
        <v>0.9474309054965199</v>
      </c>
    </row>
    <row r="29" spans="1:4">
      <c r="A29" t="s">
        <v>116</v>
      </c>
      <c r="B29">
        <v>54763.42678583466</v>
      </c>
      <c r="C29">
        <v>54763.4267858347</v>
      </c>
      <c r="D29">
        <v>0.9473997922377263</v>
      </c>
    </row>
    <row r="30" spans="1:4">
      <c r="A30" t="s">
        <v>166</v>
      </c>
      <c r="B30">
        <v>54677.73517617968</v>
      </c>
      <c r="C30">
        <v>54677.73517617975</v>
      </c>
      <c r="D30">
        <v>0.9459173391125572</v>
      </c>
    </row>
    <row r="31" spans="1:4">
      <c r="A31" t="s">
        <v>175</v>
      </c>
      <c r="B31">
        <v>54640.74121478076</v>
      </c>
      <c r="C31">
        <v>54640.74121478078</v>
      </c>
      <c r="D31">
        <v>0.9452773486408055</v>
      </c>
    </row>
    <row r="32" spans="1:4">
      <c r="A32" t="s">
        <v>178</v>
      </c>
      <c r="B32">
        <v>54627.11089723403</v>
      </c>
      <c r="C32">
        <v>54627.11089723408</v>
      </c>
      <c r="D32">
        <v>0.9450415460117554</v>
      </c>
    </row>
    <row r="33" spans="1:4">
      <c r="A33" t="s">
        <v>145</v>
      </c>
      <c r="B33">
        <v>54585.21800776715</v>
      </c>
      <c r="C33">
        <v>54585.21800776721</v>
      </c>
      <c r="D33">
        <v>0.9443168047545587</v>
      </c>
    </row>
    <row r="34" spans="1:4">
      <c r="A34" t="s">
        <v>128</v>
      </c>
      <c r="B34">
        <v>54497.16169244335</v>
      </c>
      <c r="C34">
        <v>54497.16169244335</v>
      </c>
      <c r="D34">
        <v>0.9427934425447895</v>
      </c>
    </row>
    <row r="35" spans="1:4">
      <c r="A35" t="s">
        <v>167</v>
      </c>
      <c r="B35">
        <v>54475.0159410146</v>
      </c>
      <c r="C35">
        <v>54475.01594101462</v>
      </c>
      <c r="D35">
        <v>0.942410324074417</v>
      </c>
    </row>
    <row r="36" spans="1:4">
      <c r="A36" t="s">
        <v>127</v>
      </c>
      <c r="B36">
        <v>54343.36970609997</v>
      </c>
      <c r="C36">
        <v>54343.36970610001</v>
      </c>
      <c r="D36">
        <v>0.9401328622184462</v>
      </c>
    </row>
    <row r="37" spans="1:4">
      <c r="A37" t="s">
        <v>152</v>
      </c>
      <c r="B37">
        <v>54288.51444297933</v>
      </c>
      <c r="C37">
        <v>54288.51444297939</v>
      </c>
      <c r="D37">
        <v>0.939183873670179</v>
      </c>
    </row>
    <row r="38" spans="1:4">
      <c r="A38" t="s">
        <v>157</v>
      </c>
      <c r="B38">
        <v>54203.72066274495</v>
      </c>
      <c r="C38">
        <v>54203.72066274501</v>
      </c>
      <c r="D38">
        <v>0.9377169528711706</v>
      </c>
    </row>
    <row r="39" spans="1:4">
      <c r="A39" t="s">
        <v>120</v>
      </c>
      <c r="B39">
        <v>54170.91067211441</v>
      </c>
      <c r="C39">
        <v>54170.91067211452</v>
      </c>
      <c r="D39">
        <v>0.9371493445213822</v>
      </c>
    </row>
    <row r="40" spans="1:4">
      <c r="A40" t="s">
        <v>184</v>
      </c>
      <c r="B40">
        <v>54110.34756305591</v>
      </c>
      <c r="C40">
        <v>54110.34756305589</v>
      </c>
      <c r="D40">
        <v>0.936101611019172</v>
      </c>
    </row>
    <row r="41" spans="1:4">
      <c r="A41" t="s">
        <v>196</v>
      </c>
      <c r="B41">
        <v>53860.08714927494</v>
      </c>
      <c r="C41">
        <v>53860.08714927496</v>
      </c>
      <c r="D41">
        <v>0.9317721400941945</v>
      </c>
    </row>
    <row r="42" spans="1:4">
      <c r="A42" t="s">
        <v>139</v>
      </c>
      <c r="B42">
        <v>53265.12203793212</v>
      </c>
      <c r="C42">
        <v>53265.12203793213</v>
      </c>
      <c r="D42">
        <v>0.9214793250539808</v>
      </c>
    </row>
    <row r="43" spans="1:4">
      <c r="A43" t="s">
        <v>179</v>
      </c>
      <c r="B43">
        <v>53260.08276696004</v>
      </c>
      <c r="C43">
        <v>53260.08276696007</v>
      </c>
      <c r="D43">
        <v>0.9213921463554922</v>
      </c>
    </row>
    <row r="44" spans="1:4">
      <c r="A44" t="s">
        <v>173</v>
      </c>
      <c r="B44">
        <v>53139.66665224629</v>
      </c>
      <c r="C44">
        <v>53139.66665224633</v>
      </c>
      <c r="D44">
        <v>0.9193089640428143</v>
      </c>
    </row>
    <row r="45" spans="1:4">
      <c r="A45" t="s">
        <v>168</v>
      </c>
      <c r="B45">
        <v>53128.83125097577</v>
      </c>
      <c r="C45">
        <v>53128.83125097583</v>
      </c>
      <c r="D45">
        <v>0.9191215130830224</v>
      </c>
    </row>
    <row r="46" spans="1:4">
      <c r="A46" t="s">
        <v>141</v>
      </c>
      <c r="B46">
        <v>53095.20160828637</v>
      </c>
      <c r="C46">
        <v>53095.20160828644</v>
      </c>
      <c r="D46">
        <v>0.9185397248647367</v>
      </c>
    </row>
    <row r="47" spans="1:4">
      <c r="A47" t="s">
        <v>146</v>
      </c>
      <c r="B47">
        <v>51719.10655223607</v>
      </c>
      <c r="C47">
        <v>51719.10655223613</v>
      </c>
      <c r="D47">
        <v>0.8947334686328194</v>
      </c>
    </row>
    <row r="48" spans="1:4">
      <c r="A48" t="s">
        <v>176</v>
      </c>
      <c r="B48">
        <v>51679.48508251968</v>
      </c>
      <c r="C48">
        <v>51679.48508251973</v>
      </c>
      <c r="D48">
        <v>0.8940480226265958</v>
      </c>
    </row>
    <row r="49" spans="1:4">
      <c r="A49" t="s">
        <v>142</v>
      </c>
      <c r="B49">
        <v>51077.29973138968</v>
      </c>
      <c r="C49">
        <v>51077.29973138974</v>
      </c>
      <c r="D49">
        <v>0.8836302984257295</v>
      </c>
    </row>
    <row r="50" spans="1:4">
      <c r="A50" t="s">
        <v>170</v>
      </c>
      <c r="B50">
        <v>50905.51347080346</v>
      </c>
      <c r="C50">
        <v>50905.5134708035</v>
      </c>
      <c r="D50">
        <v>0.8806584196164438</v>
      </c>
    </row>
    <row r="51" spans="1:4">
      <c r="A51" t="s">
        <v>134</v>
      </c>
      <c r="B51">
        <v>50691.18139058378</v>
      </c>
      <c r="C51">
        <v>50691.18139058386</v>
      </c>
      <c r="D51">
        <v>0.8769505039473953</v>
      </c>
    </row>
    <row r="52" spans="1:4">
      <c r="A52" t="s">
        <v>151</v>
      </c>
      <c r="B52">
        <v>50645.33805207426</v>
      </c>
      <c r="C52">
        <v>50645.33805207431</v>
      </c>
      <c r="D52">
        <v>0.8761574204621476</v>
      </c>
    </row>
    <row r="53" spans="1:4">
      <c r="A53" t="s">
        <v>115</v>
      </c>
      <c r="B53">
        <v>50541.78809808929</v>
      </c>
      <c r="C53">
        <v>50541.78809808937</v>
      </c>
      <c r="D53">
        <v>0.8743660204229348</v>
      </c>
    </row>
    <row r="54" spans="1:4">
      <c r="A54" t="s">
        <v>162</v>
      </c>
      <c r="B54">
        <v>50349.83961350979</v>
      </c>
      <c r="C54">
        <v>50349.83961350987</v>
      </c>
      <c r="D54">
        <v>0.8710453378965812</v>
      </c>
    </row>
    <row r="55" spans="1:4">
      <c r="A55" t="s">
        <v>148</v>
      </c>
      <c r="B55">
        <v>50153.39119504667</v>
      </c>
      <c r="C55">
        <v>50153.39119504673</v>
      </c>
      <c r="D55">
        <v>0.8676468071295924</v>
      </c>
    </row>
    <row r="56" spans="1:4">
      <c r="A56" t="s">
        <v>180</v>
      </c>
      <c r="B56">
        <v>50003.7356808273</v>
      </c>
      <c r="C56">
        <v>50003.73568082735</v>
      </c>
      <c r="D56">
        <v>0.865057787205161</v>
      </c>
    </row>
    <row r="57" spans="1:4">
      <c r="A57" t="s">
        <v>123</v>
      </c>
      <c r="B57">
        <v>50003.68293839283</v>
      </c>
      <c r="C57">
        <v>50003.68293839289</v>
      </c>
      <c r="D57">
        <v>0.8650568747682594</v>
      </c>
    </row>
    <row r="58" spans="1:4">
      <c r="A58" t="s">
        <v>154</v>
      </c>
      <c r="B58">
        <v>49910.51945820766</v>
      </c>
      <c r="C58">
        <v>49910.51945820776</v>
      </c>
      <c r="D58">
        <v>0.8634451593050045</v>
      </c>
    </row>
    <row r="59" spans="1:4">
      <c r="A59" t="s">
        <v>122</v>
      </c>
      <c r="B59">
        <v>49894.67144174766</v>
      </c>
      <c r="C59">
        <v>49894.67144174768</v>
      </c>
      <c r="D59">
        <v>0.8631709907881158</v>
      </c>
    </row>
    <row r="60" spans="1:4">
      <c r="A60" t="s">
        <v>171</v>
      </c>
      <c r="B60">
        <v>49795.94902953989</v>
      </c>
      <c r="C60">
        <v>49795.94902953997</v>
      </c>
      <c r="D60">
        <v>0.8614631065612833</v>
      </c>
    </row>
    <row r="61" spans="1:4">
      <c r="A61" t="s">
        <v>137</v>
      </c>
      <c r="B61">
        <v>49442.73952465433</v>
      </c>
      <c r="C61">
        <v>49442.73952465437</v>
      </c>
      <c r="D61">
        <v>0.85535263044273</v>
      </c>
    </row>
    <row r="62" spans="1:4">
      <c r="A62" t="s">
        <v>135</v>
      </c>
      <c r="B62">
        <v>49193.92503466665</v>
      </c>
      <c r="C62">
        <v>49193.92503466675</v>
      </c>
      <c r="D62">
        <v>0.851048173801587</v>
      </c>
    </row>
    <row r="63" spans="1:4">
      <c r="A63" t="s">
        <v>143</v>
      </c>
      <c r="B63">
        <v>49157.76774866727</v>
      </c>
      <c r="C63">
        <v>49157.76774866731</v>
      </c>
      <c r="D63">
        <v>0.8504226576997972</v>
      </c>
    </row>
    <row r="64" spans="1:4">
      <c r="A64" t="s">
        <v>164</v>
      </c>
      <c r="B64">
        <v>49142.22697046593</v>
      </c>
      <c r="C64">
        <v>49142.22697046597</v>
      </c>
      <c r="D64">
        <v>0.8501538043627563</v>
      </c>
    </row>
    <row r="65" spans="1:4">
      <c r="A65" t="s">
        <v>172</v>
      </c>
      <c r="B65">
        <v>49011.96713927171</v>
      </c>
      <c r="C65">
        <v>49011.96713927176</v>
      </c>
      <c r="D65">
        <v>0.8479003271015008</v>
      </c>
    </row>
    <row r="66" spans="1:4">
      <c r="A66" t="s">
        <v>163</v>
      </c>
      <c r="B66">
        <v>49010.95868732597</v>
      </c>
      <c r="C66">
        <v>49010.95868732607</v>
      </c>
      <c r="D66">
        <v>0.8478828810207872</v>
      </c>
    </row>
    <row r="67" spans="1:4">
      <c r="A67" t="s">
        <v>149</v>
      </c>
      <c r="B67">
        <v>48941.37425838195</v>
      </c>
      <c r="C67">
        <v>48941.37425838201</v>
      </c>
      <c r="D67">
        <v>0.8466790799185959</v>
      </c>
    </row>
    <row r="68" spans="1:4">
      <c r="A68" t="s">
        <v>130</v>
      </c>
      <c r="B68">
        <v>48783.15109135979</v>
      </c>
      <c r="C68">
        <v>48783.15109135985</v>
      </c>
      <c r="D68">
        <v>0.8439418407726562</v>
      </c>
    </row>
    <row r="69" spans="1:4">
      <c r="A69" t="s">
        <v>126</v>
      </c>
      <c r="B69">
        <v>48750.17299144276</v>
      </c>
      <c r="C69">
        <v>48750.17299144281</v>
      </c>
      <c r="D69">
        <v>0.8433713241552068</v>
      </c>
    </row>
    <row r="70" spans="1:4">
      <c r="A70" t="s">
        <v>124</v>
      </c>
      <c r="B70">
        <v>48735.69894531782</v>
      </c>
      <c r="C70">
        <v>48735.69894531791</v>
      </c>
      <c r="D70">
        <v>0.8431209251371684</v>
      </c>
    </row>
    <row r="71" spans="1:4">
      <c r="A71" t="s">
        <v>155</v>
      </c>
      <c r="B71">
        <v>48477.55072712453</v>
      </c>
      <c r="C71">
        <v>48477.55072712462</v>
      </c>
      <c r="D71">
        <v>0.83865499627484</v>
      </c>
    </row>
    <row r="72" spans="1:4">
      <c r="A72" t="s">
        <v>156</v>
      </c>
      <c r="B72">
        <v>48427.81705450453</v>
      </c>
      <c r="C72">
        <v>48427.81705450462</v>
      </c>
      <c r="D72">
        <v>0.8377946105416449</v>
      </c>
    </row>
    <row r="73" spans="1:4">
      <c r="A73" t="s">
        <v>181</v>
      </c>
      <c r="B73">
        <v>48221.58426184893</v>
      </c>
      <c r="C73">
        <v>48221.58426184899</v>
      </c>
      <c r="D73">
        <v>0.8342268114395428</v>
      </c>
    </row>
    <row r="74" spans="1:4">
      <c r="A74" t="s">
        <v>177</v>
      </c>
      <c r="B74">
        <v>47963.60321240911</v>
      </c>
      <c r="C74">
        <v>47963.60321240917</v>
      </c>
      <c r="D74">
        <v>0.8297637745737824</v>
      </c>
    </row>
    <row r="75" spans="1:4">
      <c r="A75" t="s">
        <v>118</v>
      </c>
      <c r="B75">
        <v>47953.92017144537</v>
      </c>
      <c r="C75">
        <v>47953.92017144541</v>
      </c>
      <c r="D75">
        <v>0.8295962592896646</v>
      </c>
    </row>
    <row r="76" spans="1:4">
      <c r="A76" t="s">
        <v>125</v>
      </c>
      <c r="B76">
        <v>47731.02630713621</v>
      </c>
      <c r="C76">
        <v>47731.02630713624</v>
      </c>
      <c r="D76">
        <v>0.8257402259270448</v>
      </c>
    </row>
    <row r="77" spans="1:4">
      <c r="A77" t="s">
        <v>169</v>
      </c>
      <c r="B77">
        <v>47610.04922965683</v>
      </c>
      <c r="C77">
        <v>47610.04922965689</v>
      </c>
      <c r="D77">
        <v>0.8236473390352566</v>
      </c>
    </row>
    <row r="78" spans="1:4">
      <c r="A78" t="s">
        <v>133</v>
      </c>
      <c r="B78">
        <v>47429.50195153581</v>
      </c>
      <c r="C78">
        <v>47429.50195153589</v>
      </c>
      <c r="D78">
        <v>0.8205238958210497</v>
      </c>
    </row>
    <row r="79" spans="1:4">
      <c r="A79" t="s">
        <v>136</v>
      </c>
      <c r="B79">
        <v>47254.81847693193</v>
      </c>
      <c r="C79">
        <v>47254.81847693199</v>
      </c>
      <c r="D79">
        <v>0.8175018956055722</v>
      </c>
    </row>
    <row r="80" spans="1:4">
      <c r="A80" t="s">
        <v>161</v>
      </c>
      <c r="B80">
        <v>47152.52742458558</v>
      </c>
      <c r="C80">
        <v>47152.52742458569</v>
      </c>
      <c r="D80">
        <v>0.8157322743925007</v>
      </c>
    </row>
    <row r="81" spans="1:4">
      <c r="A81" t="s">
        <v>189</v>
      </c>
      <c r="B81">
        <v>46976.37264987193</v>
      </c>
      <c r="C81">
        <v>46976.37264987201</v>
      </c>
      <c r="D81">
        <v>0.8126848208863849</v>
      </c>
    </row>
    <row r="82" spans="1:4">
      <c r="A82" t="s">
        <v>201</v>
      </c>
      <c r="B82">
        <v>46639.09034743036</v>
      </c>
      <c r="C82">
        <v>46639.09034743044</v>
      </c>
      <c r="D82">
        <v>0.806849883191411</v>
      </c>
    </row>
    <row r="83" spans="1:4">
      <c r="A83" t="s">
        <v>185</v>
      </c>
      <c r="B83">
        <v>46477.76485224816</v>
      </c>
      <c r="C83">
        <v>46477.76485224826</v>
      </c>
      <c r="D83">
        <v>0.8040589741926742</v>
      </c>
    </row>
    <row r="84" spans="1:4">
      <c r="A84" t="s">
        <v>194</v>
      </c>
      <c r="B84">
        <v>46252.75565347217</v>
      </c>
      <c r="C84">
        <v>46252.75565347222</v>
      </c>
      <c r="D84">
        <v>0.8001663458331372</v>
      </c>
    </row>
    <row r="85" spans="1:4">
      <c r="A85" t="s">
        <v>197</v>
      </c>
      <c r="B85">
        <v>46172.74401554668</v>
      </c>
      <c r="C85">
        <v>46172.74401554674</v>
      </c>
      <c r="D85">
        <v>0.7987821554419177</v>
      </c>
    </row>
    <row r="86" spans="1:4">
      <c r="A86" t="s">
        <v>190</v>
      </c>
      <c r="B86">
        <v>45750.07379313288</v>
      </c>
      <c r="C86">
        <v>45750.07379313295</v>
      </c>
      <c r="D86">
        <v>0.791470018411744</v>
      </c>
    </row>
    <row r="87" spans="1:4">
      <c r="A87" t="s">
        <v>192</v>
      </c>
      <c r="B87">
        <v>45665.72617578644</v>
      </c>
      <c r="C87">
        <v>45665.72617578645</v>
      </c>
      <c r="D87">
        <v>0.7900108161696655</v>
      </c>
    </row>
    <row r="88" spans="1:4">
      <c r="A88" t="s">
        <v>202</v>
      </c>
      <c r="B88">
        <v>45560.41477683529</v>
      </c>
      <c r="C88">
        <v>45560.41477683534</v>
      </c>
      <c r="D88">
        <v>0.7881889433734882</v>
      </c>
    </row>
    <row r="89" spans="1:4">
      <c r="A89" t="s">
        <v>186</v>
      </c>
      <c r="B89">
        <v>45445.38248253366</v>
      </c>
      <c r="C89">
        <v>45445.38248253372</v>
      </c>
      <c r="D89">
        <v>0.7861989004174805</v>
      </c>
    </row>
    <row r="90" spans="1:4">
      <c r="A90" t="s">
        <v>198</v>
      </c>
      <c r="B90">
        <v>45055.81916169953</v>
      </c>
      <c r="C90">
        <v>45055.8191616996</v>
      </c>
      <c r="D90">
        <v>0.779459508255901</v>
      </c>
    </row>
    <row r="92" spans="1:4">
      <c r="A92" t="s">
        <v>213</v>
      </c>
      <c r="B92" t="s">
        <v>210</v>
      </c>
      <c r="C92" t="s">
        <v>214</v>
      </c>
    </row>
    <row r="93" spans="1:4">
      <c r="A93" t="s">
        <v>114</v>
      </c>
      <c r="B93">
        <v>57803.9252642069</v>
      </c>
      <c r="C93">
        <v>1</v>
      </c>
    </row>
    <row r="94" spans="1:4">
      <c r="A94" t="s">
        <v>158</v>
      </c>
      <c r="B94">
        <v>56667.27005914134</v>
      </c>
      <c r="C94">
        <v>0.9803360204368448</v>
      </c>
    </row>
    <row r="95" spans="1:4">
      <c r="A95" t="s">
        <v>159</v>
      </c>
      <c r="B95">
        <v>56608.02235842187</v>
      </c>
      <c r="C95">
        <v>0.9793110433189642</v>
      </c>
    </row>
    <row r="96" spans="1:4">
      <c r="A96" t="s">
        <v>129</v>
      </c>
      <c r="B96">
        <v>56579.38027127238</v>
      </c>
      <c r="C96">
        <v>0.978815539129265</v>
      </c>
    </row>
    <row r="97" spans="1:3">
      <c r="A97" t="s">
        <v>131</v>
      </c>
      <c r="B97">
        <v>56549.95562866992</v>
      </c>
      <c r="C97">
        <v>0.9783064968372757</v>
      </c>
    </row>
    <row r="98" spans="1:3">
      <c r="A98" t="s">
        <v>199</v>
      </c>
      <c r="B98">
        <v>56277.86962770874</v>
      </c>
      <c r="C98">
        <v>0.9735994462396291</v>
      </c>
    </row>
    <row r="99" spans="1:3">
      <c r="A99" t="s">
        <v>187</v>
      </c>
      <c r="B99">
        <v>56218.83960809651</v>
      </c>
      <c r="C99">
        <v>0.9725782349751275</v>
      </c>
    </row>
    <row r="100" spans="1:3">
      <c r="A100" t="s">
        <v>144</v>
      </c>
      <c r="B100">
        <v>56113.46798721024</v>
      </c>
      <c r="C100">
        <v>0.9707553203477102</v>
      </c>
    </row>
    <row r="101" spans="1:3">
      <c r="A101" t="s">
        <v>121</v>
      </c>
      <c r="B101">
        <v>56112.46590753766</v>
      </c>
      <c r="C101">
        <v>0.9707379845064499</v>
      </c>
    </row>
    <row r="102" spans="1:3">
      <c r="A102" t="s">
        <v>174</v>
      </c>
      <c r="B102">
        <v>56065.19583294614</v>
      </c>
      <c r="C102">
        <v>0.9699202186821492</v>
      </c>
    </row>
    <row r="103" spans="1:3">
      <c r="A103" t="s">
        <v>193</v>
      </c>
      <c r="B103">
        <v>56032.09372137462</v>
      </c>
      <c r="C103">
        <v>0.9693475566800404</v>
      </c>
    </row>
    <row r="104" spans="1:3">
      <c r="A104" t="s">
        <v>182</v>
      </c>
      <c r="B104">
        <v>56012.5949863916</v>
      </c>
      <c r="C104">
        <v>0.9690102312320905</v>
      </c>
    </row>
    <row r="105" spans="1:3">
      <c r="A105" t="s">
        <v>132</v>
      </c>
      <c r="B105">
        <v>55735.97820699715</v>
      </c>
      <c r="C105">
        <v>0.9642247987873198</v>
      </c>
    </row>
    <row r="106" spans="1:3">
      <c r="A106" t="s">
        <v>165</v>
      </c>
      <c r="B106">
        <v>55658.71679827406</v>
      </c>
      <c r="C106">
        <v>0.9628881869850943</v>
      </c>
    </row>
    <row r="107" spans="1:3">
      <c r="A107" t="s">
        <v>160</v>
      </c>
      <c r="B107">
        <v>55587.90280073042</v>
      </c>
      <c r="C107">
        <v>0.9616631145143242</v>
      </c>
    </row>
    <row r="108" spans="1:3">
      <c r="A108" t="s">
        <v>138</v>
      </c>
      <c r="B108">
        <v>55559.57079402731</v>
      </c>
      <c r="C108">
        <v>0.9611729746739308</v>
      </c>
    </row>
    <row r="109" spans="1:3">
      <c r="A109" t="s">
        <v>117</v>
      </c>
      <c r="B109">
        <v>55429.07391349591</v>
      </c>
      <c r="C109">
        <v>0.9589153964915684</v>
      </c>
    </row>
    <row r="110" spans="1:3">
      <c r="A110" t="s">
        <v>150</v>
      </c>
      <c r="B110">
        <v>55233.32576179371</v>
      </c>
      <c r="C110">
        <v>0.9555289802437534</v>
      </c>
    </row>
    <row r="111" spans="1:3">
      <c r="A111" t="s">
        <v>188</v>
      </c>
      <c r="B111">
        <v>55222.47187681573</v>
      </c>
      <c r="C111">
        <v>0.95534120951835</v>
      </c>
    </row>
    <row r="112" spans="1:3">
      <c r="A112" t="s">
        <v>183</v>
      </c>
      <c r="B112">
        <v>55218.73015790095</v>
      </c>
      <c r="C112">
        <v>0.9552764782929589</v>
      </c>
    </row>
    <row r="113" spans="1:3">
      <c r="A113" t="s">
        <v>119</v>
      </c>
      <c r="B113">
        <v>55192.94022347502</v>
      </c>
      <c r="C113">
        <v>0.9548303159552278</v>
      </c>
    </row>
    <row r="114" spans="1:3">
      <c r="A114" t="s">
        <v>147</v>
      </c>
      <c r="B114">
        <v>55124.90851331141</v>
      </c>
      <c r="C114">
        <v>0.9536533766755395</v>
      </c>
    </row>
    <row r="115" spans="1:3">
      <c r="A115" t="s">
        <v>200</v>
      </c>
      <c r="B115">
        <v>55075.26180156366</v>
      </c>
      <c r="C115">
        <v>0.9527944953535383</v>
      </c>
    </row>
    <row r="116" spans="1:3">
      <c r="A116" t="s">
        <v>191</v>
      </c>
      <c r="B116">
        <v>54933.86133632886</v>
      </c>
      <c r="C116">
        <v>0.9503482866473216</v>
      </c>
    </row>
    <row r="117" spans="1:3">
      <c r="A117" t="s">
        <v>195</v>
      </c>
      <c r="B117">
        <v>54916.743794236</v>
      </c>
      <c r="C117">
        <v>0.9500521555106454</v>
      </c>
    </row>
    <row r="118" spans="1:3">
      <c r="A118" t="s">
        <v>140</v>
      </c>
      <c r="B118">
        <v>54856.66138210355</v>
      </c>
      <c r="C118">
        <v>0.9490127379995019</v>
      </c>
    </row>
    <row r="119" spans="1:3">
      <c r="A119" t="s">
        <v>153</v>
      </c>
      <c r="B119">
        <v>54765.2252543207</v>
      </c>
      <c r="C119">
        <v>0.9474309054965199</v>
      </c>
    </row>
    <row r="120" spans="1:3">
      <c r="A120" t="s">
        <v>116</v>
      </c>
      <c r="B120">
        <v>54763.42678583466</v>
      </c>
      <c r="C120">
        <v>0.9473997922377263</v>
      </c>
    </row>
    <row r="121" spans="1:3">
      <c r="A121" t="s">
        <v>166</v>
      </c>
      <c r="B121">
        <v>54677.73517617968</v>
      </c>
      <c r="C121">
        <v>0.9459173391125572</v>
      </c>
    </row>
    <row r="122" spans="1:3">
      <c r="A122" t="s">
        <v>175</v>
      </c>
      <c r="B122">
        <v>54640.74121478076</v>
      </c>
      <c r="C122">
        <v>0.9452773486408055</v>
      </c>
    </row>
    <row r="123" spans="1:3">
      <c r="A123" t="s">
        <v>178</v>
      </c>
      <c r="B123">
        <v>54627.11089723403</v>
      </c>
      <c r="C123">
        <v>0.9450415460117554</v>
      </c>
    </row>
    <row r="124" spans="1:3">
      <c r="A124" t="s">
        <v>145</v>
      </c>
      <c r="B124">
        <v>54585.21800776715</v>
      </c>
      <c r="C124">
        <v>0.9443168047545587</v>
      </c>
    </row>
    <row r="125" spans="1:3">
      <c r="A125" t="s">
        <v>128</v>
      </c>
      <c r="B125">
        <v>54497.16169244335</v>
      </c>
      <c r="C125">
        <v>0.9427934425447895</v>
      </c>
    </row>
    <row r="126" spans="1:3">
      <c r="A126" t="s">
        <v>167</v>
      </c>
      <c r="B126">
        <v>54475.0159410146</v>
      </c>
      <c r="C126">
        <v>0.942410324074417</v>
      </c>
    </row>
    <row r="127" spans="1:3">
      <c r="A127" t="s">
        <v>127</v>
      </c>
      <c r="B127">
        <v>54343.36970609997</v>
      </c>
      <c r="C127">
        <v>0.9401328622184462</v>
      </c>
    </row>
    <row r="128" spans="1:3">
      <c r="A128" t="s">
        <v>152</v>
      </c>
      <c r="B128">
        <v>54288.51444297933</v>
      </c>
      <c r="C128">
        <v>0.939183873670179</v>
      </c>
    </row>
    <row r="129" spans="1:3">
      <c r="A129" t="s">
        <v>157</v>
      </c>
      <c r="B129">
        <v>54203.72066274495</v>
      </c>
      <c r="C129">
        <v>0.9377169528711706</v>
      </c>
    </row>
    <row r="130" spans="1:3">
      <c r="A130" t="s">
        <v>120</v>
      </c>
      <c r="B130">
        <v>54170.91067211441</v>
      </c>
      <c r="C130">
        <v>0.9371493445213822</v>
      </c>
    </row>
    <row r="131" spans="1:3">
      <c r="A131" t="s">
        <v>184</v>
      </c>
      <c r="B131">
        <v>54110.34756305591</v>
      </c>
      <c r="C131">
        <v>0.936101611019172</v>
      </c>
    </row>
    <row r="132" spans="1:3">
      <c r="A132" t="s">
        <v>196</v>
      </c>
      <c r="B132">
        <v>53860.08714927494</v>
      </c>
      <c r="C132">
        <v>0.9317721400941945</v>
      </c>
    </row>
    <row r="133" spans="1:3">
      <c r="A133" t="s">
        <v>139</v>
      </c>
      <c r="B133">
        <v>53265.12203793212</v>
      </c>
      <c r="C133">
        <v>0.9214793250539808</v>
      </c>
    </row>
    <row r="134" spans="1:3">
      <c r="A134" t="s">
        <v>179</v>
      </c>
      <c r="B134">
        <v>53260.08276696004</v>
      </c>
      <c r="C134">
        <v>0.9213921463554922</v>
      </c>
    </row>
    <row r="135" spans="1:3">
      <c r="A135" t="s">
        <v>173</v>
      </c>
      <c r="B135">
        <v>53139.66665224629</v>
      </c>
      <c r="C135">
        <v>0.9193089640428143</v>
      </c>
    </row>
    <row r="136" spans="1:3">
      <c r="A136" t="s">
        <v>168</v>
      </c>
      <c r="B136">
        <v>53128.83125097577</v>
      </c>
      <c r="C136">
        <v>0.9191215130830224</v>
      </c>
    </row>
    <row r="137" spans="1:3">
      <c r="A137" t="s">
        <v>141</v>
      </c>
      <c r="B137">
        <v>53095.20160828637</v>
      </c>
      <c r="C137">
        <v>0.9185397248647367</v>
      </c>
    </row>
    <row r="138" spans="1:3">
      <c r="A138" t="s">
        <v>146</v>
      </c>
      <c r="B138">
        <v>51719.10655223607</v>
      </c>
      <c r="C138">
        <v>0.8947334686328194</v>
      </c>
    </row>
    <row r="139" spans="1:3">
      <c r="A139" t="s">
        <v>176</v>
      </c>
      <c r="B139">
        <v>51679.48508251968</v>
      </c>
      <c r="C139">
        <v>0.8940480226265958</v>
      </c>
    </row>
    <row r="140" spans="1:3">
      <c r="A140" t="s">
        <v>142</v>
      </c>
      <c r="B140">
        <v>51077.29973138968</v>
      </c>
      <c r="C140">
        <v>0.8836302984257295</v>
      </c>
    </row>
    <row r="141" spans="1:3">
      <c r="A141" t="s">
        <v>170</v>
      </c>
      <c r="B141">
        <v>50905.51347080346</v>
      </c>
      <c r="C141">
        <v>0.8806584196164438</v>
      </c>
    </row>
    <row r="142" spans="1:3">
      <c r="A142" t="s">
        <v>134</v>
      </c>
      <c r="B142">
        <v>50691.18139058378</v>
      </c>
      <c r="C142">
        <v>0.8769505039473953</v>
      </c>
    </row>
    <row r="143" spans="1:3">
      <c r="A143" t="s">
        <v>151</v>
      </c>
      <c r="B143">
        <v>50645.33805207426</v>
      </c>
      <c r="C143">
        <v>0.8761574204621476</v>
      </c>
    </row>
    <row r="144" spans="1:3">
      <c r="A144" t="s">
        <v>115</v>
      </c>
      <c r="B144">
        <v>50541.78809808929</v>
      </c>
      <c r="C144">
        <v>0.8743660204229348</v>
      </c>
    </row>
    <row r="145" spans="1:3">
      <c r="A145" t="s">
        <v>162</v>
      </c>
      <c r="B145">
        <v>50349.83961350979</v>
      </c>
      <c r="C145">
        <v>0.8710453378965812</v>
      </c>
    </row>
    <row r="146" spans="1:3">
      <c r="A146" t="s">
        <v>148</v>
      </c>
      <c r="B146">
        <v>50153.39119504667</v>
      </c>
      <c r="C146">
        <v>0.8676468071295924</v>
      </c>
    </row>
    <row r="147" spans="1:3">
      <c r="A147" t="s">
        <v>180</v>
      </c>
      <c r="B147">
        <v>50003.7356808273</v>
      </c>
      <c r="C147">
        <v>0.865057787205161</v>
      </c>
    </row>
    <row r="148" spans="1:3">
      <c r="A148" t="s">
        <v>123</v>
      </c>
      <c r="B148">
        <v>50003.68293839283</v>
      </c>
      <c r="C148">
        <v>0.8650568747682594</v>
      </c>
    </row>
    <row r="149" spans="1:3">
      <c r="A149" t="s">
        <v>154</v>
      </c>
      <c r="B149">
        <v>49910.51945820766</v>
      </c>
      <c r="C149">
        <v>0.8634451593050045</v>
      </c>
    </row>
    <row r="150" spans="1:3">
      <c r="A150" t="s">
        <v>122</v>
      </c>
      <c r="B150">
        <v>49894.67144174766</v>
      </c>
      <c r="C150">
        <v>0.8631709907881158</v>
      </c>
    </row>
    <row r="151" spans="1:3">
      <c r="A151" t="s">
        <v>171</v>
      </c>
      <c r="B151">
        <v>49795.94902953989</v>
      </c>
      <c r="C151">
        <v>0.8614631065612833</v>
      </c>
    </row>
    <row r="152" spans="1:3">
      <c r="A152" t="s">
        <v>137</v>
      </c>
      <c r="B152">
        <v>49442.73952465433</v>
      </c>
      <c r="C152">
        <v>0.85535263044273</v>
      </c>
    </row>
    <row r="153" spans="1:3">
      <c r="A153" t="s">
        <v>135</v>
      </c>
      <c r="B153">
        <v>49193.92503466665</v>
      </c>
      <c r="C153">
        <v>0.851048173801587</v>
      </c>
    </row>
    <row r="154" spans="1:3">
      <c r="A154" t="s">
        <v>143</v>
      </c>
      <c r="B154">
        <v>49157.76774866727</v>
      </c>
      <c r="C154">
        <v>0.8504226576997972</v>
      </c>
    </row>
    <row r="155" spans="1:3">
      <c r="A155" t="s">
        <v>164</v>
      </c>
      <c r="B155">
        <v>49142.22697046593</v>
      </c>
      <c r="C155">
        <v>0.8501538043627563</v>
      </c>
    </row>
    <row r="156" spans="1:3">
      <c r="A156" t="s">
        <v>172</v>
      </c>
      <c r="B156">
        <v>49011.96713927171</v>
      </c>
      <c r="C156">
        <v>0.8479003271015008</v>
      </c>
    </row>
    <row r="157" spans="1:3">
      <c r="A157" t="s">
        <v>163</v>
      </c>
      <c r="B157">
        <v>49010.95868732597</v>
      </c>
      <c r="C157">
        <v>0.8478828810207872</v>
      </c>
    </row>
    <row r="158" spans="1:3">
      <c r="A158" t="s">
        <v>149</v>
      </c>
      <c r="B158">
        <v>48941.37425838195</v>
      </c>
      <c r="C158">
        <v>0.8466790799185959</v>
      </c>
    </row>
    <row r="159" spans="1:3">
      <c r="A159" t="s">
        <v>130</v>
      </c>
      <c r="B159">
        <v>48783.15109135979</v>
      </c>
      <c r="C159">
        <v>0.8439418407726562</v>
      </c>
    </row>
    <row r="160" spans="1:3">
      <c r="A160" t="s">
        <v>126</v>
      </c>
      <c r="B160">
        <v>48750.17299144276</v>
      </c>
      <c r="C160">
        <v>0.8433713241552068</v>
      </c>
    </row>
    <row r="161" spans="1:3">
      <c r="A161" t="s">
        <v>124</v>
      </c>
      <c r="B161">
        <v>48735.69894531782</v>
      </c>
      <c r="C161">
        <v>0.8431209251371684</v>
      </c>
    </row>
    <row r="162" spans="1:3">
      <c r="A162" t="s">
        <v>155</v>
      </c>
      <c r="B162">
        <v>48477.55072712453</v>
      </c>
      <c r="C162">
        <v>0.83865499627484</v>
      </c>
    </row>
    <row r="163" spans="1:3">
      <c r="A163" t="s">
        <v>156</v>
      </c>
      <c r="B163">
        <v>48427.81705450453</v>
      </c>
      <c r="C163">
        <v>0.8377946105416449</v>
      </c>
    </row>
    <row r="164" spans="1:3">
      <c r="A164" t="s">
        <v>181</v>
      </c>
      <c r="B164">
        <v>48221.58426184893</v>
      </c>
      <c r="C164">
        <v>0.8342268114395428</v>
      </c>
    </row>
    <row r="165" spans="1:3">
      <c r="A165" t="s">
        <v>177</v>
      </c>
      <c r="B165">
        <v>47963.60321240911</v>
      </c>
      <c r="C165">
        <v>0.8297637745737824</v>
      </c>
    </row>
    <row r="166" spans="1:3">
      <c r="A166" t="s">
        <v>118</v>
      </c>
      <c r="B166">
        <v>47953.92017144537</v>
      </c>
      <c r="C166">
        <v>0.8295962592896646</v>
      </c>
    </row>
    <row r="167" spans="1:3">
      <c r="A167" t="s">
        <v>125</v>
      </c>
      <c r="B167">
        <v>47731.02630713621</v>
      </c>
      <c r="C167">
        <v>0.8257402259270448</v>
      </c>
    </row>
    <row r="168" spans="1:3">
      <c r="A168" t="s">
        <v>169</v>
      </c>
      <c r="B168">
        <v>47610.04922965683</v>
      </c>
      <c r="C168">
        <v>0.8236473390352566</v>
      </c>
    </row>
    <row r="169" spans="1:3">
      <c r="A169" t="s">
        <v>133</v>
      </c>
      <c r="B169">
        <v>47429.50195153581</v>
      </c>
      <c r="C169">
        <v>0.8205238958210497</v>
      </c>
    </row>
    <row r="170" spans="1:3">
      <c r="A170" t="s">
        <v>136</v>
      </c>
      <c r="B170">
        <v>47254.81847693193</v>
      </c>
      <c r="C170">
        <v>0.8175018956055722</v>
      </c>
    </row>
    <row r="171" spans="1:3">
      <c r="A171" t="s">
        <v>161</v>
      </c>
      <c r="B171">
        <v>47152.52742458558</v>
      </c>
      <c r="C171">
        <v>0.8157322743925007</v>
      </c>
    </row>
    <row r="172" spans="1:3">
      <c r="A172" t="s">
        <v>189</v>
      </c>
      <c r="B172">
        <v>46976.37264987193</v>
      </c>
      <c r="C172">
        <v>0.8126848208863849</v>
      </c>
    </row>
    <row r="173" spans="1:3">
      <c r="A173" t="s">
        <v>201</v>
      </c>
      <c r="B173">
        <v>46639.09034743036</v>
      </c>
      <c r="C173">
        <v>0.806849883191411</v>
      </c>
    </row>
    <row r="174" spans="1:3">
      <c r="A174" t="s">
        <v>185</v>
      </c>
      <c r="B174">
        <v>46477.76485224816</v>
      </c>
      <c r="C174">
        <v>0.8040589741926742</v>
      </c>
    </row>
    <row r="175" spans="1:3">
      <c r="A175" t="s">
        <v>194</v>
      </c>
      <c r="B175">
        <v>46252.75565347217</v>
      </c>
      <c r="C175">
        <v>0.8001663458331372</v>
      </c>
    </row>
    <row r="176" spans="1:3">
      <c r="A176" t="s">
        <v>197</v>
      </c>
      <c r="B176">
        <v>46172.74401554668</v>
      </c>
      <c r="C176">
        <v>0.7987821554419177</v>
      </c>
    </row>
    <row r="177" spans="1:3">
      <c r="A177" t="s">
        <v>190</v>
      </c>
      <c r="B177">
        <v>45750.07379313288</v>
      </c>
      <c r="C177">
        <v>0.791470018411744</v>
      </c>
    </row>
    <row r="178" spans="1:3">
      <c r="A178" t="s">
        <v>192</v>
      </c>
      <c r="B178">
        <v>45665.72617578644</v>
      </c>
      <c r="C178">
        <v>0.7900108161696655</v>
      </c>
    </row>
    <row r="179" spans="1:3">
      <c r="A179" t="s">
        <v>202</v>
      </c>
      <c r="B179">
        <v>45560.41477683529</v>
      </c>
      <c r="C179">
        <v>0.7881889433734882</v>
      </c>
    </row>
    <row r="180" spans="1:3">
      <c r="A180" t="s">
        <v>186</v>
      </c>
      <c r="B180">
        <v>45445.38248253366</v>
      </c>
      <c r="C180">
        <v>0.7861989004174805</v>
      </c>
    </row>
    <row r="181" spans="1:3">
      <c r="A181" t="s">
        <v>198</v>
      </c>
      <c r="B181">
        <v>45055.81916169953</v>
      </c>
      <c r="C181">
        <v>0.779459508255901</v>
      </c>
    </row>
    <row r="183" spans="1:3">
      <c r="A183" t="s">
        <v>213</v>
      </c>
      <c r="B183" t="s">
        <v>211</v>
      </c>
      <c r="C183" t="s">
        <v>214</v>
      </c>
    </row>
    <row r="184" spans="1:3">
      <c r="A184" t="s">
        <v>114</v>
      </c>
      <c r="B184">
        <v>57803.9252642069</v>
      </c>
      <c r="C184">
        <v>1</v>
      </c>
    </row>
    <row r="185" spans="1:3">
      <c r="A185" t="s">
        <v>158</v>
      </c>
      <c r="B185">
        <v>56667.27005914143</v>
      </c>
      <c r="C185">
        <v>0.9803360204368448</v>
      </c>
    </row>
    <row r="186" spans="1:3">
      <c r="A186" t="s">
        <v>159</v>
      </c>
      <c r="B186">
        <v>56608.02235842193</v>
      </c>
      <c r="C186">
        <v>0.9793110433189642</v>
      </c>
    </row>
    <row r="187" spans="1:3">
      <c r="A187" t="s">
        <v>129</v>
      </c>
      <c r="B187">
        <v>56579.38027127246</v>
      </c>
      <c r="C187">
        <v>0.978815539129265</v>
      </c>
    </row>
    <row r="188" spans="1:3">
      <c r="A188" t="s">
        <v>131</v>
      </c>
      <c r="B188">
        <v>56549.95562866997</v>
      </c>
      <c r="C188">
        <v>0.9783064968372757</v>
      </c>
    </row>
    <row r="189" spans="1:3">
      <c r="A189" t="s">
        <v>199</v>
      </c>
      <c r="B189">
        <v>56277.86962770875</v>
      </c>
      <c r="C189">
        <v>0.9735994462396291</v>
      </c>
    </row>
    <row r="190" spans="1:3">
      <c r="A190" t="s">
        <v>187</v>
      </c>
      <c r="B190">
        <v>56218.83960809655</v>
      </c>
      <c r="C190">
        <v>0.9725782349751275</v>
      </c>
    </row>
    <row r="191" spans="1:3">
      <c r="A191" t="s">
        <v>144</v>
      </c>
      <c r="B191">
        <v>56113.46798721032</v>
      </c>
      <c r="C191">
        <v>0.9707553203477102</v>
      </c>
    </row>
    <row r="192" spans="1:3">
      <c r="A192" t="s">
        <v>121</v>
      </c>
      <c r="B192">
        <v>56112.46590753768</v>
      </c>
      <c r="C192">
        <v>0.9707379845064499</v>
      </c>
    </row>
    <row r="193" spans="1:3">
      <c r="A193" t="s">
        <v>174</v>
      </c>
      <c r="B193">
        <v>56065.19583294619</v>
      </c>
      <c r="C193">
        <v>0.9699202186821492</v>
      </c>
    </row>
    <row r="194" spans="1:3">
      <c r="A194" t="s">
        <v>193</v>
      </c>
      <c r="B194">
        <v>56032.09372137461</v>
      </c>
      <c r="C194">
        <v>0.9693475566800404</v>
      </c>
    </row>
    <row r="195" spans="1:3">
      <c r="A195" t="s">
        <v>182</v>
      </c>
      <c r="B195">
        <v>56012.59498639162</v>
      </c>
      <c r="C195">
        <v>0.9690102312320905</v>
      </c>
    </row>
    <row r="196" spans="1:3">
      <c r="A196" t="s">
        <v>132</v>
      </c>
      <c r="B196">
        <v>55735.9782069972</v>
      </c>
      <c r="C196">
        <v>0.9642247987873198</v>
      </c>
    </row>
    <row r="197" spans="1:3">
      <c r="A197" t="s">
        <v>165</v>
      </c>
      <c r="B197">
        <v>55658.71679827408</v>
      </c>
      <c r="C197">
        <v>0.9628881869850943</v>
      </c>
    </row>
    <row r="198" spans="1:3">
      <c r="A198" t="s">
        <v>160</v>
      </c>
      <c r="B198">
        <v>55587.90280073047</v>
      </c>
      <c r="C198">
        <v>0.9616631145143242</v>
      </c>
    </row>
    <row r="199" spans="1:3">
      <c r="A199" t="s">
        <v>138</v>
      </c>
      <c r="B199">
        <v>55559.57079402735</v>
      </c>
      <c r="C199">
        <v>0.9611729746739308</v>
      </c>
    </row>
    <row r="200" spans="1:3">
      <c r="A200" t="s">
        <v>117</v>
      </c>
      <c r="B200">
        <v>55429.07391349599</v>
      </c>
      <c r="C200">
        <v>0.9589153964915684</v>
      </c>
    </row>
    <row r="201" spans="1:3">
      <c r="A201" t="s">
        <v>150</v>
      </c>
      <c r="B201">
        <v>55233.32576179381</v>
      </c>
      <c r="C201">
        <v>0.9555289802437534</v>
      </c>
    </row>
    <row r="202" spans="1:3">
      <c r="A202" t="s">
        <v>188</v>
      </c>
      <c r="B202">
        <v>55222.47187681575</v>
      </c>
      <c r="C202">
        <v>0.95534120951835</v>
      </c>
    </row>
    <row r="203" spans="1:3">
      <c r="A203" t="s">
        <v>183</v>
      </c>
      <c r="B203">
        <v>55218.73015790098</v>
      </c>
      <c r="C203">
        <v>0.9552764782929589</v>
      </c>
    </row>
    <row r="204" spans="1:3">
      <c r="A204" t="s">
        <v>119</v>
      </c>
      <c r="B204">
        <v>55192.94022347509</v>
      </c>
      <c r="C204">
        <v>0.9548303159552278</v>
      </c>
    </row>
    <row r="205" spans="1:3">
      <c r="A205" t="s">
        <v>147</v>
      </c>
      <c r="B205">
        <v>55124.90851331148</v>
      </c>
      <c r="C205">
        <v>0.9536533766755395</v>
      </c>
    </row>
    <row r="206" spans="1:3">
      <c r="A206" t="s">
        <v>200</v>
      </c>
      <c r="B206">
        <v>55075.26180156366</v>
      </c>
      <c r="C206">
        <v>0.9527944953535383</v>
      </c>
    </row>
    <row r="207" spans="1:3">
      <c r="A207" t="s">
        <v>191</v>
      </c>
      <c r="B207">
        <v>54933.86133632886</v>
      </c>
      <c r="C207">
        <v>0.9503482866473216</v>
      </c>
    </row>
    <row r="208" spans="1:3">
      <c r="A208" t="s">
        <v>195</v>
      </c>
      <c r="B208">
        <v>54916.74379423603</v>
      </c>
      <c r="C208">
        <v>0.9500521555106454</v>
      </c>
    </row>
    <row r="209" spans="1:3">
      <c r="A209" t="s">
        <v>140</v>
      </c>
      <c r="B209">
        <v>54856.66138210359</v>
      </c>
      <c r="C209">
        <v>0.9490127379995019</v>
      </c>
    </row>
    <row r="210" spans="1:3">
      <c r="A210" t="s">
        <v>153</v>
      </c>
      <c r="B210">
        <v>54765.22525432071</v>
      </c>
      <c r="C210">
        <v>0.9474309054965199</v>
      </c>
    </row>
    <row r="211" spans="1:3">
      <c r="A211" t="s">
        <v>116</v>
      </c>
      <c r="B211">
        <v>54763.4267858347</v>
      </c>
      <c r="C211">
        <v>0.9473997922377263</v>
      </c>
    </row>
    <row r="212" spans="1:3">
      <c r="A212" t="s">
        <v>166</v>
      </c>
      <c r="B212">
        <v>54677.73517617975</v>
      </c>
      <c r="C212">
        <v>0.9459173391125572</v>
      </c>
    </row>
    <row r="213" spans="1:3">
      <c r="A213" t="s">
        <v>175</v>
      </c>
      <c r="B213">
        <v>54640.74121478078</v>
      </c>
      <c r="C213">
        <v>0.9452773486408055</v>
      </c>
    </row>
    <row r="214" spans="1:3">
      <c r="A214" t="s">
        <v>178</v>
      </c>
      <c r="B214">
        <v>54627.11089723408</v>
      </c>
      <c r="C214">
        <v>0.9450415460117554</v>
      </c>
    </row>
    <row r="215" spans="1:3">
      <c r="A215" t="s">
        <v>145</v>
      </c>
      <c r="B215">
        <v>54585.21800776721</v>
      </c>
      <c r="C215">
        <v>0.9443168047545587</v>
      </c>
    </row>
    <row r="216" spans="1:3">
      <c r="A216" t="s">
        <v>128</v>
      </c>
      <c r="B216">
        <v>54497.16169244335</v>
      </c>
      <c r="C216">
        <v>0.9427934425447895</v>
      </c>
    </row>
    <row r="217" spans="1:3">
      <c r="A217" t="s">
        <v>167</v>
      </c>
      <c r="B217">
        <v>54475.01594101462</v>
      </c>
      <c r="C217">
        <v>0.942410324074417</v>
      </c>
    </row>
    <row r="218" spans="1:3">
      <c r="A218" t="s">
        <v>127</v>
      </c>
      <c r="B218">
        <v>54343.36970610001</v>
      </c>
      <c r="C218">
        <v>0.9401328622184462</v>
      </c>
    </row>
    <row r="219" spans="1:3">
      <c r="A219" t="s">
        <v>152</v>
      </c>
      <c r="B219">
        <v>54288.51444297939</v>
      </c>
      <c r="C219">
        <v>0.939183873670179</v>
      </c>
    </row>
    <row r="220" spans="1:3">
      <c r="A220" t="s">
        <v>157</v>
      </c>
      <c r="B220">
        <v>54203.72066274501</v>
      </c>
      <c r="C220">
        <v>0.9377169528711706</v>
      </c>
    </row>
    <row r="221" spans="1:3">
      <c r="A221" t="s">
        <v>120</v>
      </c>
      <c r="B221">
        <v>54170.91067211452</v>
      </c>
      <c r="C221">
        <v>0.9371493445213822</v>
      </c>
    </row>
    <row r="222" spans="1:3">
      <c r="A222" t="s">
        <v>184</v>
      </c>
      <c r="B222">
        <v>54110.34756305589</v>
      </c>
      <c r="C222">
        <v>0.936101611019172</v>
      </c>
    </row>
    <row r="223" spans="1:3">
      <c r="A223" t="s">
        <v>196</v>
      </c>
      <c r="B223">
        <v>53860.08714927496</v>
      </c>
      <c r="C223">
        <v>0.9317721400941945</v>
      </c>
    </row>
    <row r="224" spans="1:3">
      <c r="A224" t="s">
        <v>139</v>
      </c>
      <c r="B224">
        <v>53265.12203793213</v>
      </c>
      <c r="C224">
        <v>0.9214793250539808</v>
      </c>
    </row>
    <row r="225" spans="1:3">
      <c r="A225" t="s">
        <v>179</v>
      </c>
      <c r="B225">
        <v>53260.08276696007</v>
      </c>
      <c r="C225">
        <v>0.9213921463554922</v>
      </c>
    </row>
    <row r="226" spans="1:3">
      <c r="A226" t="s">
        <v>173</v>
      </c>
      <c r="B226">
        <v>53139.66665224633</v>
      </c>
      <c r="C226">
        <v>0.9193089640428143</v>
      </c>
    </row>
    <row r="227" spans="1:3">
      <c r="A227" t="s">
        <v>168</v>
      </c>
      <c r="B227">
        <v>53128.83125097583</v>
      </c>
      <c r="C227">
        <v>0.9191215130830224</v>
      </c>
    </row>
    <row r="228" spans="1:3">
      <c r="A228" t="s">
        <v>141</v>
      </c>
      <c r="B228">
        <v>53095.20160828644</v>
      </c>
      <c r="C228">
        <v>0.9185397248647367</v>
      </c>
    </row>
    <row r="229" spans="1:3">
      <c r="A229" t="s">
        <v>146</v>
      </c>
      <c r="B229">
        <v>51719.10655223613</v>
      </c>
      <c r="C229">
        <v>0.8947334686328194</v>
      </c>
    </row>
    <row r="230" spans="1:3">
      <c r="A230" t="s">
        <v>176</v>
      </c>
      <c r="B230">
        <v>51679.48508251973</v>
      </c>
      <c r="C230">
        <v>0.8940480226265958</v>
      </c>
    </row>
    <row r="231" spans="1:3">
      <c r="A231" t="s">
        <v>142</v>
      </c>
      <c r="B231">
        <v>51077.29973138974</v>
      </c>
      <c r="C231">
        <v>0.8836302984257295</v>
      </c>
    </row>
    <row r="232" spans="1:3">
      <c r="A232" t="s">
        <v>170</v>
      </c>
      <c r="B232">
        <v>50905.5134708035</v>
      </c>
      <c r="C232">
        <v>0.8806584196164438</v>
      </c>
    </row>
    <row r="233" spans="1:3">
      <c r="A233" t="s">
        <v>134</v>
      </c>
      <c r="B233">
        <v>50691.18139058386</v>
      </c>
      <c r="C233">
        <v>0.8769505039473953</v>
      </c>
    </row>
    <row r="234" spans="1:3">
      <c r="A234" t="s">
        <v>151</v>
      </c>
      <c r="B234">
        <v>50645.33805207431</v>
      </c>
      <c r="C234">
        <v>0.8761574204621476</v>
      </c>
    </row>
    <row r="235" spans="1:3">
      <c r="A235" t="s">
        <v>115</v>
      </c>
      <c r="B235">
        <v>50541.78809808937</v>
      </c>
      <c r="C235">
        <v>0.8743660204229348</v>
      </c>
    </row>
    <row r="236" spans="1:3">
      <c r="A236" t="s">
        <v>162</v>
      </c>
      <c r="B236">
        <v>50349.83961350987</v>
      </c>
      <c r="C236">
        <v>0.8710453378965812</v>
      </c>
    </row>
    <row r="237" spans="1:3">
      <c r="A237" t="s">
        <v>148</v>
      </c>
      <c r="B237">
        <v>50153.39119504673</v>
      </c>
      <c r="C237">
        <v>0.8676468071295924</v>
      </c>
    </row>
    <row r="238" spans="1:3">
      <c r="A238" t="s">
        <v>180</v>
      </c>
      <c r="B238">
        <v>50003.73568082735</v>
      </c>
      <c r="C238">
        <v>0.865057787205161</v>
      </c>
    </row>
    <row r="239" spans="1:3">
      <c r="A239" t="s">
        <v>123</v>
      </c>
      <c r="B239">
        <v>50003.68293839289</v>
      </c>
      <c r="C239">
        <v>0.8650568747682594</v>
      </c>
    </row>
    <row r="240" spans="1:3">
      <c r="A240" t="s">
        <v>154</v>
      </c>
      <c r="B240">
        <v>49910.51945820776</v>
      </c>
      <c r="C240">
        <v>0.8634451593050045</v>
      </c>
    </row>
    <row r="241" spans="1:3">
      <c r="A241" t="s">
        <v>122</v>
      </c>
      <c r="B241">
        <v>49894.67144174768</v>
      </c>
      <c r="C241">
        <v>0.8631709907881158</v>
      </c>
    </row>
    <row r="242" spans="1:3">
      <c r="A242" t="s">
        <v>171</v>
      </c>
      <c r="B242">
        <v>49795.94902953997</v>
      </c>
      <c r="C242">
        <v>0.8614631065612833</v>
      </c>
    </row>
    <row r="243" spans="1:3">
      <c r="A243" t="s">
        <v>137</v>
      </c>
      <c r="B243">
        <v>49442.73952465437</v>
      </c>
      <c r="C243">
        <v>0.85535263044273</v>
      </c>
    </row>
    <row r="244" spans="1:3">
      <c r="A244" t="s">
        <v>135</v>
      </c>
      <c r="B244">
        <v>49193.92503466675</v>
      </c>
      <c r="C244">
        <v>0.851048173801587</v>
      </c>
    </row>
    <row r="245" spans="1:3">
      <c r="A245" t="s">
        <v>143</v>
      </c>
      <c r="B245">
        <v>49157.76774866731</v>
      </c>
      <c r="C245">
        <v>0.8504226576997972</v>
      </c>
    </row>
    <row r="246" spans="1:3">
      <c r="A246" t="s">
        <v>164</v>
      </c>
      <c r="B246">
        <v>49142.22697046597</v>
      </c>
      <c r="C246">
        <v>0.8501538043627563</v>
      </c>
    </row>
    <row r="247" spans="1:3">
      <c r="A247" t="s">
        <v>172</v>
      </c>
      <c r="B247">
        <v>49011.96713927176</v>
      </c>
      <c r="C247">
        <v>0.8479003271015008</v>
      </c>
    </row>
    <row r="248" spans="1:3">
      <c r="A248" t="s">
        <v>163</v>
      </c>
      <c r="B248">
        <v>49010.95868732607</v>
      </c>
      <c r="C248">
        <v>0.8478828810207872</v>
      </c>
    </row>
    <row r="249" spans="1:3">
      <c r="A249" t="s">
        <v>149</v>
      </c>
      <c r="B249">
        <v>48941.37425838201</v>
      </c>
      <c r="C249">
        <v>0.8466790799185959</v>
      </c>
    </row>
    <row r="250" spans="1:3">
      <c r="A250" t="s">
        <v>130</v>
      </c>
      <c r="B250">
        <v>48783.15109135985</v>
      </c>
      <c r="C250">
        <v>0.8439418407726562</v>
      </c>
    </row>
    <row r="251" spans="1:3">
      <c r="A251" t="s">
        <v>126</v>
      </c>
      <c r="B251">
        <v>48750.17299144281</v>
      </c>
      <c r="C251">
        <v>0.8433713241552068</v>
      </c>
    </row>
    <row r="252" spans="1:3">
      <c r="A252" t="s">
        <v>124</v>
      </c>
      <c r="B252">
        <v>48735.69894531791</v>
      </c>
      <c r="C252">
        <v>0.8431209251371684</v>
      </c>
    </row>
    <row r="253" spans="1:3">
      <c r="A253" t="s">
        <v>155</v>
      </c>
      <c r="B253">
        <v>48477.55072712462</v>
      </c>
      <c r="C253">
        <v>0.83865499627484</v>
      </c>
    </row>
    <row r="254" spans="1:3">
      <c r="A254" t="s">
        <v>156</v>
      </c>
      <c r="B254">
        <v>48427.81705450462</v>
      </c>
      <c r="C254">
        <v>0.8377946105416449</v>
      </c>
    </row>
    <row r="255" spans="1:3">
      <c r="A255" t="s">
        <v>181</v>
      </c>
      <c r="B255">
        <v>48221.58426184899</v>
      </c>
      <c r="C255">
        <v>0.8342268114395428</v>
      </c>
    </row>
    <row r="256" spans="1:3">
      <c r="A256" t="s">
        <v>177</v>
      </c>
      <c r="B256">
        <v>47963.60321240917</v>
      </c>
      <c r="C256">
        <v>0.8297637745737824</v>
      </c>
    </row>
    <row r="257" spans="1:3">
      <c r="A257" t="s">
        <v>118</v>
      </c>
      <c r="B257">
        <v>47953.92017144541</v>
      </c>
      <c r="C257">
        <v>0.8295962592896646</v>
      </c>
    </row>
    <row r="258" spans="1:3">
      <c r="A258" t="s">
        <v>125</v>
      </c>
      <c r="B258">
        <v>47731.02630713624</v>
      </c>
      <c r="C258">
        <v>0.8257402259270448</v>
      </c>
    </row>
    <row r="259" spans="1:3">
      <c r="A259" t="s">
        <v>169</v>
      </c>
      <c r="B259">
        <v>47610.04922965689</v>
      </c>
      <c r="C259">
        <v>0.8236473390352566</v>
      </c>
    </row>
    <row r="260" spans="1:3">
      <c r="A260" t="s">
        <v>133</v>
      </c>
      <c r="B260">
        <v>47429.50195153589</v>
      </c>
      <c r="C260">
        <v>0.8205238958210497</v>
      </c>
    </row>
    <row r="261" spans="1:3">
      <c r="A261" t="s">
        <v>136</v>
      </c>
      <c r="B261">
        <v>47254.81847693199</v>
      </c>
      <c r="C261">
        <v>0.8175018956055722</v>
      </c>
    </row>
    <row r="262" spans="1:3">
      <c r="A262" t="s">
        <v>161</v>
      </c>
      <c r="B262">
        <v>47152.52742458569</v>
      </c>
      <c r="C262">
        <v>0.8157322743925007</v>
      </c>
    </row>
    <row r="263" spans="1:3">
      <c r="A263" t="s">
        <v>189</v>
      </c>
      <c r="B263">
        <v>46976.37264987201</v>
      </c>
      <c r="C263">
        <v>0.8126848208863849</v>
      </c>
    </row>
    <row r="264" spans="1:3">
      <c r="A264" t="s">
        <v>201</v>
      </c>
      <c r="B264">
        <v>46639.09034743044</v>
      </c>
      <c r="C264">
        <v>0.806849883191411</v>
      </c>
    </row>
    <row r="265" spans="1:3">
      <c r="A265" t="s">
        <v>185</v>
      </c>
      <c r="B265">
        <v>46477.76485224826</v>
      </c>
      <c r="C265">
        <v>0.8040589741926742</v>
      </c>
    </row>
    <row r="266" spans="1:3">
      <c r="A266" t="s">
        <v>194</v>
      </c>
      <c r="B266">
        <v>46252.75565347222</v>
      </c>
      <c r="C266">
        <v>0.8001663458331372</v>
      </c>
    </row>
    <row r="267" spans="1:3">
      <c r="A267" t="s">
        <v>197</v>
      </c>
      <c r="B267">
        <v>46172.74401554674</v>
      </c>
      <c r="C267">
        <v>0.7987821554419177</v>
      </c>
    </row>
    <row r="268" spans="1:3">
      <c r="A268" t="s">
        <v>190</v>
      </c>
      <c r="B268">
        <v>45750.07379313295</v>
      </c>
      <c r="C268">
        <v>0.791470018411744</v>
      </c>
    </row>
    <row r="269" spans="1:3">
      <c r="A269" t="s">
        <v>192</v>
      </c>
      <c r="B269">
        <v>45665.72617578645</v>
      </c>
      <c r="C269">
        <v>0.7900108161696655</v>
      </c>
    </row>
    <row r="270" spans="1:3">
      <c r="A270" t="s">
        <v>202</v>
      </c>
      <c r="B270">
        <v>45560.41477683534</v>
      </c>
      <c r="C270">
        <v>0.7881889433734882</v>
      </c>
    </row>
    <row r="271" spans="1:3">
      <c r="A271" t="s">
        <v>186</v>
      </c>
      <c r="B271">
        <v>45445.38248253372</v>
      </c>
      <c r="C271">
        <v>0.7861989004174805</v>
      </c>
    </row>
    <row r="272" spans="1:3">
      <c r="A272" t="s">
        <v>198</v>
      </c>
      <c r="B272">
        <v>45055.8191616996</v>
      </c>
      <c r="C272">
        <v>0.779459508255901</v>
      </c>
    </row>
    <row r="274" spans="1:4">
      <c r="A274" t="s">
        <v>213</v>
      </c>
      <c r="B274" t="s">
        <v>210</v>
      </c>
      <c r="C274" t="s">
        <v>211</v>
      </c>
      <c r="D274" t="s">
        <v>214</v>
      </c>
    </row>
    <row r="275" spans="1:4">
      <c r="A275" t="s">
        <v>111</v>
      </c>
      <c r="B275">
        <v>51847.69376346669</v>
      </c>
      <c r="C275">
        <v>51847.69376346674</v>
      </c>
      <c r="D275">
        <v>1</v>
      </c>
    </row>
    <row r="277" spans="1:4">
      <c r="A277" t="s">
        <v>213</v>
      </c>
      <c r="B277" t="s">
        <v>210</v>
      </c>
      <c r="C277" t="s">
        <v>214</v>
      </c>
    </row>
    <row r="278" spans="1:4">
      <c r="A278" t="s">
        <v>111</v>
      </c>
      <c r="B278">
        <v>51847.69376346669</v>
      </c>
      <c r="C278">
        <v>1</v>
      </c>
    </row>
    <row r="280" spans="1:4">
      <c r="A280" t="s">
        <v>213</v>
      </c>
      <c r="B280" t="s">
        <v>211</v>
      </c>
      <c r="C280" t="s">
        <v>214</v>
      </c>
    </row>
    <row r="281" spans="1:4">
      <c r="A281" t="s">
        <v>111</v>
      </c>
      <c r="B281">
        <v>51847.69376346674</v>
      </c>
      <c r="C281">
        <v>1</v>
      </c>
    </row>
    <row r="283" spans="1:4">
      <c r="A283" t="s">
        <v>213</v>
      </c>
      <c r="B283" t="s">
        <v>210</v>
      </c>
      <c r="C283" t="s">
        <v>211</v>
      </c>
      <c r="D283" t="s">
        <v>214</v>
      </c>
    </row>
    <row r="284" spans="1:4">
      <c r="A284" t="s">
        <v>203</v>
      </c>
      <c r="B284">
        <v>51847.69376346669</v>
      </c>
      <c r="C284">
        <v>51847.69376346674</v>
      </c>
      <c r="D284">
        <v>1</v>
      </c>
    </row>
    <row r="285" spans="1:4">
      <c r="A285" t="s">
        <v>204</v>
      </c>
      <c r="B285">
        <v>51847.69376346669</v>
      </c>
      <c r="C285">
        <v>51847.69376346674</v>
      </c>
      <c r="D285">
        <v>1</v>
      </c>
    </row>
    <row r="287" spans="1:4">
      <c r="A287" t="s">
        <v>213</v>
      </c>
      <c r="B287" t="s">
        <v>210</v>
      </c>
      <c r="C287" t="s">
        <v>214</v>
      </c>
    </row>
    <row r="288" spans="1:4">
      <c r="A288" t="s">
        <v>203</v>
      </c>
      <c r="B288">
        <v>51847.69376346669</v>
      </c>
      <c r="C288">
        <v>1</v>
      </c>
    </row>
    <row r="289" spans="1:4">
      <c r="A289" t="s">
        <v>204</v>
      </c>
      <c r="B289">
        <v>51847.69376346669</v>
      </c>
      <c r="C289">
        <v>1</v>
      </c>
    </row>
    <row r="291" spans="1:4">
      <c r="A291" t="s">
        <v>213</v>
      </c>
      <c r="B291" t="s">
        <v>211</v>
      </c>
      <c r="C291" t="s">
        <v>214</v>
      </c>
    </row>
    <row r="292" spans="1:4">
      <c r="A292" t="s">
        <v>203</v>
      </c>
      <c r="B292">
        <v>51847.69376346674</v>
      </c>
      <c r="C292">
        <v>1</v>
      </c>
    </row>
    <row r="293" spans="1:4">
      <c r="A293" t="s">
        <v>204</v>
      </c>
      <c r="B293">
        <v>51847.69376346674</v>
      </c>
      <c r="C293">
        <v>1</v>
      </c>
    </row>
    <row r="295" spans="1:4">
      <c r="A295" t="s">
        <v>213</v>
      </c>
      <c r="B295" t="s">
        <v>210</v>
      </c>
      <c r="C295" t="s">
        <v>211</v>
      </c>
      <c r="D295" t="s">
        <v>214</v>
      </c>
    </row>
    <row r="296" spans="1:4">
      <c r="A296" t="s">
        <v>215</v>
      </c>
      <c r="B296">
        <v>51847.69376346669</v>
      </c>
      <c r="C296">
        <v>51847.69376346674</v>
      </c>
      <c r="D296">
        <v>1</v>
      </c>
    </row>
    <row r="298" spans="1:4">
      <c r="A298" t="s">
        <v>213</v>
      </c>
      <c r="B298" t="s">
        <v>210</v>
      </c>
      <c r="C298" t="s">
        <v>214</v>
      </c>
    </row>
    <row r="299" spans="1:4">
      <c r="A299" t="s">
        <v>215</v>
      </c>
      <c r="B299">
        <v>51847.69376346669</v>
      </c>
      <c r="C299">
        <v>1</v>
      </c>
    </row>
    <row r="301" spans="1:4">
      <c r="A301" t="s">
        <v>213</v>
      </c>
      <c r="B301" t="s">
        <v>211</v>
      </c>
      <c r="C301" t="s">
        <v>214</v>
      </c>
    </row>
    <row r="302" spans="1:4">
      <c r="A302" t="s">
        <v>215</v>
      </c>
      <c r="B302">
        <v>51847.69376346674</v>
      </c>
      <c r="C302">
        <v>1</v>
      </c>
    </row>
    <row r="304" spans="1:4">
      <c r="A304" t="s">
        <v>213</v>
      </c>
      <c r="B304" t="s">
        <v>210</v>
      </c>
      <c r="C304" t="s">
        <v>211</v>
      </c>
      <c r="D304" t="s">
        <v>214</v>
      </c>
    </row>
    <row r="305" spans="1:4">
      <c r="A305" t="s">
        <v>216</v>
      </c>
      <c r="B305">
        <v>51847.69376346669</v>
      </c>
      <c r="C305">
        <v>51847.69376346674</v>
      </c>
      <c r="D305">
        <v>1</v>
      </c>
    </row>
    <row r="307" spans="1:4">
      <c r="A307" t="s">
        <v>213</v>
      </c>
      <c r="B307" t="s">
        <v>210</v>
      </c>
      <c r="C307" t="s">
        <v>214</v>
      </c>
    </row>
    <row r="308" spans="1:4">
      <c r="A308" t="s">
        <v>216</v>
      </c>
      <c r="B308">
        <v>51847.69376346669</v>
      </c>
      <c r="C308">
        <v>1</v>
      </c>
    </row>
    <row r="310" spans="1:4">
      <c r="A310" t="s">
        <v>213</v>
      </c>
      <c r="B310" t="s">
        <v>211</v>
      </c>
      <c r="C310" t="s">
        <v>214</v>
      </c>
    </row>
    <row r="311" spans="1:4">
      <c r="A311" t="s">
        <v>216</v>
      </c>
      <c r="B311">
        <v>51847.69376346674</v>
      </c>
      <c r="C311">
        <v>1</v>
      </c>
    </row>
    <row r="313" spans="1:4">
      <c r="A313" t="s">
        <v>213</v>
      </c>
      <c r="B313" t="s">
        <v>210</v>
      </c>
      <c r="C313" t="s">
        <v>211</v>
      </c>
      <c r="D313" t="s">
        <v>214</v>
      </c>
    </row>
    <row r="315" spans="1:4">
      <c r="A315" t="s">
        <v>213</v>
      </c>
      <c r="B315" t="s">
        <v>210</v>
      </c>
      <c r="C315" t="s">
        <v>214</v>
      </c>
    </row>
    <row r="317" spans="1:4">
      <c r="A317" t="s">
        <v>213</v>
      </c>
      <c r="B317" t="s">
        <v>211</v>
      </c>
      <c r="C317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"/>
  <cols>
    <col min="1" max="1" width="6.7109375" customWidth="1"/>
    <col min="2" max="2" width="40.7109375" customWidth="1"/>
    <col min="3" max="5" width="16.7109375" customWidth="1"/>
  </cols>
  <sheetData>
    <row r="1" spans="1:5">
      <c r="A1" s="4" t="s">
        <v>217</v>
      </c>
      <c r="B1" t="s">
        <v>9</v>
      </c>
      <c r="D1" s="4" t="s">
        <v>218</v>
      </c>
      <c r="E1" t="s">
        <v>219</v>
      </c>
    </row>
    <row r="2" spans="1:5">
      <c r="A2" t="s">
        <v>220</v>
      </c>
    </row>
    <row r="5" spans="1:5">
      <c r="A5" s="5" t="s">
        <v>221</v>
      </c>
      <c r="B5" s="5">
        <f>IF(LEN($B$1)=0,"(select dimension)",$B$1)</f>
        <v>0</v>
      </c>
      <c r="C5" s="5">
        <f>IFERROR(INDEX(INDIRECT("pivot_" &amp; SUBSTITUTE($B$1," ","_") &amp; "_" &amp; IF(LEN($E$1)=0,"both",$E$1) &amp; "_headers"),1,COLUMN()-COLUMN($C$5)+2),"")</f>
        <v>0</v>
      </c>
      <c r="D5" s="5">
        <f>IFERROR(INDEX(INDIRECT("pivot_" &amp; SUBSTITUTE($B$1," ","_") &amp; "_" &amp; IF(LEN($E$1)=0,"both",$E$1) &amp; "_headers"),1,COLUMN()-COLUMN($C$5)+2),"")</f>
        <v>0</v>
      </c>
      <c r="E5" s="5">
        <f>IFERROR(INDEX(INDIRECT("pivot_" &amp; SUBSTITUTE($B$1," ","_") &amp; "_" &amp; IF(LEN($E$1)=0,"both",$E$1) &amp; "_headers"),1,COLUMN()-COLUMN($C$5)+2),"")</f>
        <v>0</v>
      </c>
    </row>
    <row r="6" spans="1:5">
      <c r="A6">
        <v>1</v>
      </c>
      <c r="B6">
        <f>IF($A6&lt;=ROWS(INDIRECT("pivot_" &amp; SUBSTITUTE($B$1," ","_") &amp; "_" &amp; IF(LEN($E$1)=0,"both",$E$1) &amp; "_data")),INDEX(INDIRECT("pivot_" &amp; SUBSTITUTE($B$1," ","_") &amp; "_" &amp; IF(LEN($E$1)=0,"both",$E$1) &amp; "_data"),$A6,1),"")</f>
        <v>0</v>
      </c>
      <c r="C6">
        <f>IF($A6&lt;=ROWS(INDIRECT("pivot_"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"_data"),$A6,COLUMN()-COLUMN($C$5)+2),""),"")</f>
        <v>0</v>
      </c>
      <c r="D6">
        <f>IF($A6&lt;=ROWS(INDIRECT("pivot_"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"_data"),$A6,COLUMN()-COLUMN($C$5)+2),""),"")</f>
        <v>0</v>
      </c>
      <c r="E6">
        <f>IF($A6&lt;=ROWS(INDIRECT("pivot_"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"_data"),$A6,COLUMN()-COLUMN($C$5)+2),""),"")</f>
        <v>0</v>
      </c>
    </row>
    <row r="7" spans="1:5">
      <c r="A7">
        <v>2</v>
      </c>
      <c r="B7">
        <f>IF($A7&lt;=ROWS(INDIRECT("pivot_" &amp; SUBSTITUTE($B$1," ","_") &amp; "_" &amp; IF(LEN($E$1)=0,"both",$E$1) &amp; "_data")),INDEX(INDIRECT("pivot_" &amp; SUBSTITUTE($B$1," ","_") &amp; "_" &amp; IF(LEN($E$1)=0,"both",$E$1) &amp; "_data"),$A7,1),"")</f>
        <v>0</v>
      </c>
      <c r="C7">
        <f>IF($A7&lt;=ROWS(INDIRECT("pivot_"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"_data"),$A7,COLUMN()-COLUMN($C$5)+2),""),"")</f>
        <v>0</v>
      </c>
      <c r="D7">
        <f>IF($A7&lt;=ROWS(INDIRECT("pivot_"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"_data"),$A7,COLUMN()-COLUMN($C$5)+2),""),"")</f>
        <v>0</v>
      </c>
      <c r="E7">
        <f>IF($A7&lt;=ROWS(INDIRECT("pivot_"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"_data"),$A7,COLUMN()-COLUMN($C$5)+2),""),"")</f>
        <v>0</v>
      </c>
    </row>
    <row r="8" spans="1:5">
      <c r="A8">
        <v>3</v>
      </c>
      <c r="B8">
        <f>IF($A8&lt;=ROWS(INDIRECT("pivot_" &amp; SUBSTITUTE($B$1," ","_") &amp; "_" &amp; IF(LEN($E$1)=0,"both",$E$1) &amp; "_data")),INDEX(INDIRECT("pivot_" &amp; SUBSTITUTE($B$1," ","_") &amp; "_" &amp; IF(LEN($E$1)=0,"both",$E$1) &amp; "_data"),$A8,1),"")</f>
        <v>0</v>
      </c>
      <c r="C8">
        <f>IF($A8&lt;=ROWS(INDIRECT("pivot_"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"_data"),$A8,COLUMN()-COLUMN($C$5)+2),""),"")</f>
        <v>0</v>
      </c>
      <c r="D8">
        <f>IF($A8&lt;=ROWS(INDIRECT("pivot_"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"_data"),$A8,COLUMN()-COLUMN($C$5)+2),""),"")</f>
        <v>0</v>
      </c>
      <c r="E8">
        <f>IF($A8&lt;=ROWS(INDIRECT("pivot_"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"_data"),$A8,COLUMN()-COLUMN($C$5)+2),""),"")</f>
        <v>0</v>
      </c>
    </row>
    <row r="9" spans="1:5">
      <c r="A9">
        <v>4</v>
      </c>
      <c r="B9">
        <f>IF($A9&lt;=ROWS(INDIRECT("pivot_" &amp; SUBSTITUTE($B$1," ","_") &amp; "_" &amp; IF(LEN($E$1)=0,"both",$E$1) &amp; "_data")),INDEX(INDIRECT("pivot_" &amp; SUBSTITUTE($B$1," ","_") &amp; "_" &amp; IF(LEN($E$1)=0,"both",$E$1) &amp; "_data"),$A9,1),"")</f>
        <v>0</v>
      </c>
      <c r="C9">
        <f>IF($A9&lt;=ROWS(INDIRECT("pivot_"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"_data"),$A9,COLUMN()-COLUMN($C$5)+2),""),"")</f>
        <v>0</v>
      </c>
      <c r="D9">
        <f>IF($A9&lt;=ROWS(INDIRECT("pivot_"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"_data"),$A9,COLUMN()-COLUMN($C$5)+2),""),"")</f>
        <v>0</v>
      </c>
      <c r="E9">
        <f>IF($A9&lt;=ROWS(INDIRECT("pivot_"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"_data"),$A9,COLUMN()-COLUMN($C$5)+2),""),"")</f>
        <v>0</v>
      </c>
    </row>
    <row r="10" spans="1:5">
      <c r="A10">
        <v>5</v>
      </c>
      <c r="B10">
        <f>IF($A10&lt;=ROWS(INDIRECT("pivot_" &amp; SUBSTITUTE($B$1," ","_") &amp; "_" &amp; IF(LEN($E$1)=0,"both",$E$1) &amp; "_data")),INDEX(INDIRECT("pivot_" &amp; SUBSTITUTE($B$1," ","_") &amp; "_" &amp; IF(LEN($E$1)=0,"both",$E$1) &amp; "_data"),$A10,1),"")</f>
        <v>0</v>
      </c>
      <c r="C10">
        <f>IF($A10&lt;=ROWS(INDIRECT("pivot_"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"_data"),$A10,COLUMN()-COLUMN($C$5)+2),""),"")</f>
        <v>0</v>
      </c>
      <c r="D10">
        <f>IF($A10&lt;=ROWS(INDIRECT("pivot_"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"_data"),$A10,COLUMN()-COLUMN($C$5)+2),""),"")</f>
        <v>0</v>
      </c>
      <c r="E10">
        <f>IF($A10&lt;=ROWS(INDIRECT("pivot_"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"_data"),$A10,COLUMN()-COLUMN($C$5)+2),""),"")</f>
        <v>0</v>
      </c>
    </row>
    <row r="11" spans="1:5">
      <c r="A11">
        <v>6</v>
      </c>
      <c r="B11">
        <f>IF($A11&lt;=ROWS(INDIRECT("pivot_" &amp; SUBSTITUTE($B$1," ","_") &amp; "_" &amp; IF(LEN($E$1)=0,"both",$E$1) &amp; "_data")),INDEX(INDIRECT("pivot_" &amp; SUBSTITUTE($B$1," ","_") &amp; "_" &amp; IF(LEN($E$1)=0,"both",$E$1) &amp; "_data"),$A11,1),"")</f>
        <v>0</v>
      </c>
      <c r="C11">
        <f>IF($A11&lt;=ROWS(INDIRECT("pivot_"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"_data"),$A11,COLUMN()-COLUMN($C$5)+2),""),"")</f>
        <v>0</v>
      </c>
      <c r="D11">
        <f>IF($A11&lt;=ROWS(INDIRECT("pivot_"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"_data"),$A11,COLUMN()-COLUMN($C$5)+2),""),"")</f>
        <v>0</v>
      </c>
      <c r="E11">
        <f>IF($A11&lt;=ROWS(INDIRECT("pivot_"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"_data"),$A11,COLUMN()-COLUMN($C$5)+2),""),"")</f>
        <v>0</v>
      </c>
    </row>
    <row r="12" spans="1:5">
      <c r="A12">
        <v>7</v>
      </c>
      <c r="B12">
        <f>IF($A12&lt;=ROWS(INDIRECT("pivot_" &amp; SUBSTITUTE($B$1," ","_") &amp; "_" &amp; IF(LEN($E$1)=0,"both",$E$1) &amp; "_data")),INDEX(INDIRECT("pivot_" &amp; SUBSTITUTE($B$1," ","_") &amp; "_" &amp; IF(LEN($E$1)=0,"both",$E$1) &amp; "_data"),$A12,1),"")</f>
        <v>0</v>
      </c>
      <c r="C12">
        <f>IF($A12&lt;=ROWS(INDIRECT("pivot_"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"_data"),$A12,COLUMN()-COLUMN($C$5)+2),""),"")</f>
        <v>0</v>
      </c>
      <c r="D12">
        <f>IF($A12&lt;=ROWS(INDIRECT("pivot_"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"_data"),$A12,COLUMN()-COLUMN($C$5)+2),""),"")</f>
        <v>0</v>
      </c>
      <c r="E12">
        <f>IF($A12&lt;=ROWS(INDIRECT("pivot_"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"_data"),$A12,COLUMN()-COLUMN($C$5)+2),""),"")</f>
        <v>0</v>
      </c>
    </row>
    <row r="13" spans="1:5">
      <c r="A13">
        <v>8</v>
      </c>
      <c r="B13">
        <f>IF($A13&lt;=ROWS(INDIRECT("pivot_" &amp; SUBSTITUTE($B$1," ","_") &amp; "_" &amp; IF(LEN($E$1)=0,"both",$E$1) &amp; "_data")),INDEX(INDIRECT("pivot_" &amp; SUBSTITUTE($B$1," ","_") &amp; "_" &amp; IF(LEN($E$1)=0,"both",$E$1) &amp; "_data"),$A13,1),"")</f>
        <v>0</v>
      </c>
      <c r="C13">
        <f>IF($A13&lt;=ROWS(INDIRECT("pivot_"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"_data"),$A13,COLUMN()-COLUMN($C$5)+2),""),"")</f>
        <v>0</v>
      </c>
      <c r="D13">
        <f>IF($A13&lt;=ROWS(INDIRECT("pivot_"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"_data"),$A13,COLUMN()-COLUMN($C$5)+2),""),"")</f>
        <v>0</v>
      </c>
      <c r="E13">
        <f>IF($A13&lt;=ROWS(INDIRECT("pivot_"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"_data"),$A13,COLUMN()-COLUMN($C$5)+2),""),"")</f>
        <v>0</v>
      </c>
    </row>
    <row r="14" spans="1:5">
      <c r="A14">
        <v>9</v>
      </c>
      <c r="B14">
        <f>IF($A14&lt;=ROWS(INDIRECT("pivot_" &amp; SUBSTITUTE($B$1," ","_") &amp; "_" &amp; IF(LEN($E$1)=0,"both",$E$1) &amp; "_data")),INDEX(INDIRECT("pivot_" &amp; SUBSTITUTE($B$1," ","_") &amp; "_" &amp; IF(LEN($E$1)=0,"both",$E$1) &amp; "_data"),$A14,1),"")</f>
        <v>0</v>
      </c>
      <c r="C14">
        <f>IF($A14&lt;=ROWS(INDIRECT("pivot_"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"_data"),$A14,COLUMN()-COLUMN($C$5)+2),""),"")</f>
        <v>0</v>
      </c>
      <c r="D14">
        <f>IF($A14&lt;=ROWS(INDIRECT("pivot_"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"_data"),$A14,COLUMN()-COLUMN($C$5)+2),""),"")</f>
        <v>0</v>
      </c>
      <c r="E14">
        <f>IF($A14&lt;=ROWS(INDIRECT("pivot_"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"_data"),$A14,COLUMN()-COLUMN($C$5)+2),""),"")</f>
        <v>0</v>
      </c>
    </row>
    <row r="15" spans="1:5">
      <c r="A15">
        <v>10</v>
      </c>
      <c r="B15">
        <f>IF($A15&lt;=ROWS(INDIRECT("pivot_" &amp; SUBSTITUTE($B$1," ","_") &amp; "_" &amp; IF(LEN($E$1)=0,"both",$E$1) &amp; "_data")),INDEX(INDIRECT("pivot_" &amp; SUBSTITUTE($B$1," ","_") &amp; "_" &amp; IF(LEN($E$1)=0,"both",$E$1) &amp; "_data"),$A15,1),"")</f>
        <v>0</v>
      </c>
      <c r="C15">
        <f>IF($A15&lt;=ROWS(INDIRECT("pivot_"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"_data"),$A15,COLUMN()-COLUMN($C$5)+2),""),"")</f>
        <v>0</v>
      </c>
      <c r="D15">
        <f>IF($A15&lt;=ROWS(INDIRECT("pivot_"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"_data"),$A15,COLUMN()-COLUMN($C$5)+2),""),"")</f>
        <v>0</v>
      </c>
      <c r="E15">
        <f>IF($A15&lt;=ROWS(INDIRECT("pivot_"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"_data"),$A15,COLUMN()-COLUMN($C$5)+2),""),"")</f>
        <v>0</v>
      </c>
    </row>
    <row r="16" spans="1:5">
      <c r="A16">
        <v>11</v>
      </c>
      <c r="B16">
        <f>IF($A16&lt;=ROWS(INDIRECT("pivot_" &amp; SUBSTITUTE($B$1," ","_") &amp; "_" &amp; IF(LEN($E$1)=0,"both",$E$1) &amp; "_data")),INDEX(INDIRECT("pivot_" &amp; SUBSTITUTE($B$1," ","_") &amp; "_" &amp; IF(LEN($E$1)=0,"both",$E$1) &amp; "_data"),$A16,1),"")</f>
        <v>0</v>
      </c>
      <c r="C16">
        <f>IF($A16&lt;=ROWS(INDIRECT("pivot_"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"_data"),$A16,COLUMN()-COLUMN($C$5)+2),""),"")</f>
        <v>0</v>
      </c>
      <c r="D16">
        <f>IF($A16&lt;=ROWS(INDIRECT("pivot_"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"_data"),$A16,COLUMN()-COLUMN($C$5)+2),""),"")</f>
        <v>0</v>
      </c>
      <c r="E16">
        <f>IF($A16&lt;=ROWS(INDIRECT("pivot_"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"_data"),$A16,COLUMN()-COLUMN($C$5)+2),""),"")</f>
        <v>0</v>
      </c>
    </row>
    <row r="17" spans="1:5">
      <c r="A17">
        <v>12</v>
      </c>
      <c r="B17">
        <f>IF($A17&lt;=ROWS(INDIRECT("pivot_" &amp; SUBSTITUTE($B$1," ","_") &amp; "_" &amp; IF(LEN($E$1)=0,"both",$E$1) &amp; "_data")),INDEX(INDIRECT("pivot_" &amp; SUBSTITUTE($B$1," ","_") &amp; "_" &amp; IF(LEN($E$1)=0,"both",$E$1) &amp; "_data"),$A17,1),"")</f>
        <v>0</v>
      </c>
      <c r="C17">
        <f>IF($A17&lt;=ROWS(INDIRECT("pivot_"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"_data"),$A17,COLUMN()-COLUMN($C$5)+2),""),"")</f>
        <v>0</v>
      </c>
      <c r="D17">
        <f>IF($A17&lt;=ROWS(INDIRECT("pivot_"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"_data"),$A17,COLUMN()-COLUMN($C$5)+2),""),"")</f>
        <v>0</v>
      </c>
      <c r="E17">
        <f>IF($A17&lt;=ROWS(INDIRECT("pivot_"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"_data"),$A17,COLUMN()-COLUMN($C$5)+2),""),"")</f>
        <v>0</v>
      </c>
    </row>
    <row r="18" spans="1:5">
      <c r="A18">
        <v>13</v>
      </c>
      <c r="B18">
        <f>IF($A18&lt;=ROWS(INDIRECT("pivot_" &amp; SUBSTITUTE($B$1," ","_") &amp; "_" &amp; IF(LEN($E$1)=0,"both",$E$1) &amp; "_data")),INDEX(INDIRECT("pivot_" &amp; SUBSTITUTE($B$1," ","_") &amp; "_" &amp; IF(LEN($E$1)=0,"both",$E$1) &amp; "_data"),$A18,1),"")</f>
        <v>0</v>
      </c>
      <c r="C18">
        <f>IF($A18&lt;=ROWS(INDIRECT("pivot_"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"_data"),$A18,COLUMN()-COLUMN($C$5)+2),""),"")</f>
        <v>0</v>
      </c>
      <c r="D18">
        <f>IF($A18&lt;=ROWS(INDIRECT("pivot_"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"_data"),$A18,COLUMN()-COLUMN($C$5)+2),""),"")</f>
        <v>0</v>
      </c>
      <c r="E18">
        <f>IF($A18&lt;=ROWS(INDIRECT("pivot_"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"_data"),$A18,COLUMN()-COLUMN($C$5)+2),""),"")</f>
        <v>0</v>
      </c>
    </row>
    <row r="19" spans="1:5">
      <c r="A19">
        <v>14</v>
      </c>
      <c r="B19">
        <f>IF($A19&lt;=ROWS(INDIRECT("pivot_" &amp; SUBSTITUTE($B$1," ","_") &amp; "_" &amp; IF(LEN($E$1)=0,"both",$E$1) &amp; "_data")),INDEX(INDIRECT("pivot_" &amp; SUBSTITUTE($B$1," ","_") &amp; "_" &amp; IF(LEN($E$1)=0,"both",$E$1) &amp; "_data"),$A19,1),"")</f>
        <v>0</v>
      </c>
      <c r="C19">
        <f>IF($A19&lt;=ROWS(INDIRECT("pivot_"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"_data"),$A19,COLUMN()-COLUMN($C$5)+2),""),"")</f>
        <v>0</v>
      </c>
      <c r="D19">
        <f>IF($A19&lt;=ROWS(INDIRECT("pivot_"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"_data"),$A19,COLUMN()-COLUMN($C$5)+2),""),"")</f>
        <v>0</v>
      </c>
      <c r="E19">
        <f>IF($A19&lt;=ROWS(INDIRECT("pivot_"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"_data"),$A19,COLUMN()-COLUMN($C$5)+2),""),"")</f>
        <v>0</v>
      </c>
    </row>
    <row r="20" spans="1:5">
      <c r="A20">
        <v>15</v>
      </c>
      <c r="B20">
        <f>IF($A20&lt;=ROWS(INDIRECT("pivot_" &amp; SUBSTITUTE($B$1," ","_") &amp; "_" &amp; IF(LEN($E$1)=0,"both",$E$1) &amp; "_data")),INDEX(INDIRECT("pivot_" &amp; SUBSTITUTE($B$1," ","_") &amp; "_" &amp; IF(LEN($E$1)=0,"both",$E$1) &amp; "_data"),$A20,1),"")</f>
        <v>0</v>
      </c>
      <c r="C20">
        <f>IF($A20&lt;=ROWS(INDIRECT("pivot_"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"_data"),$A20,COLUMN()-COLUMN($C$5)+2),""),"")</f>
        <v>0</v>
      </c>
      <c r="D20">
        <f>IF($A20&lt;=ROWS(INDIRECT("pivot_"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"_data"),$A20,COLUMN()-COLUMN($C$5)+2),""),"")</f>
        <v>0</v>
      </c>
      <c r="E20">
        <f>IF($A20&lt;=ROWS(INDIRECT("pivot_"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"_data"),$A20,COLUMN()-COLUMN($C$5)+2),""),"")</f>
        <v>0</v>
      </c>
    </row>
    <row r="21" spans="1:5">
      <c r="A21">
        <v>16</v>
      </c>
      <c r="B21">
        <f>IF($A21&lt;=ROWS(INDIRECT("pivot_" &amp; SUBSTITUTE($B$1," ","_") &amp; "_" &amp; IF(LEN($E$1)=0,"both",$E$1) &amp; "_data")),INDEX(INDIRECT("pivot_" &amp; SUBSTITUTE($B$1," ","_") &amp; "_" &amp; IF(LEN($E$1)=0,"both",$E$1) &amp; "_data"),$A21,1),"")</f>
        <v>0</v>
      </c>
      <c r="C21">
        <f>IF($A21&lt;=ROWS(INDIRECT("pivot_"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"_data"),$A21,COLUMN()-COLUMN($C$5)+2),""),"")</f>
        <v>0</v>
      </c>
      <c r="D21">
        <f>IF($A21&lt;=ROWS(INDIRECT("pivot_"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"_data"),$A21,COLUMN()-COLUMN($C$5)+2),""),"")</f>
        <v>0</v>
      </c>
      <c r="E21">
        <f>IF($A21&lt;=ROWS(INDIRECT("pivot_"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"_data"),$A21,COLUMN()-COLUMN($C$5)+2),""),"")</f>
        <v>0</v>
      </c>
    </row>
    <row r="22" spans="1:5">
      <c r="A22">
        <v>17</v>
      </c>
      <c r="B22">
        <f>IF($A22&lt;=ROWS(INDIRECT("pivot_" &amp; SUBSTITUTE($B$1," ","_") &amp; "_" &amp; IF(LEN($E$1)=0,"both",$E$1) &amp; "_data")),INDEX(INDIRECT("pivot_" &amp; SUBSTITUTE($B$1," ","_") &amp; "_" &amp; IF(LEN($E$1)=0,"both",$E$1) &amp; "_data"),$A22,1),"")</f>
        <v>0</v>
      </c>
      <c r="C22">
        <f>IF($A22&lt;=ROWS(INDIRECT("pivot_"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"_data"),$A22,COLUMN()-COLUMN($C$5)+2),""),"")</f>
        <v>0</v>
      </c>
      <c r="D22">
        <f>IF($A22&lt;=ROWS(INDIRECT("pivot_"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"_data"),$A22,COLUMN()-COLUMN($C$5)+2),""),"")</f>
        <v>0</v>
      </c>
      <c r="E22">
        <f>IF($A22&lt;=ROWS(INDIRECT("pivot_"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"_data"),$A22,COLUMN()-COLUMN($C$5)+2),""),"")</f>
        <v>0</v>
      </c>
    </row>
    <row r="23" spans="1:5">
      <c r="A23">
        <v>18</v>
      </c>
      <c r="B23">
        <f>IF($A23&lt;=ROWS(INDIRECT("pivot_" &amp; SUBSTITUTE($B$1," ","_") &amp; "_" &amp; IF(LEN($E$1)=0,"both",$E$1) &amp; "_data")),INDEX(INDIRECT("pivot_" &amp; SUBSTITUTE($B$1," ","_") &amp; "_" &amp; IF(LEN($E$1)=0,"both",$E$1) &amp; "_data"),$A23,1),"")</f>
        <v>0</v>
      </c>
      <c r="C23">
        <f>IF($A23&lt;=ROWS(INDIRECT("pivot_"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"_data"),$A23,COLUMN()-COLUMN($C$5)+2),""),"")</f>
        <v>0</v>
      </c>
      <c r="D23">
        <f>IF($A23&lt;=ROWS(INDIRECT("pivot_"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"_data"),$A23,COLUMN()-COLUMN($C$5)+2),""),"")</f>
        <v>0</v>
      </c>
      <c r="E23">
        <f>IF($A23&lt;=ROWS(INDIRECT("pivot_"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"_data"),$A23,COLUMN()-COLUMN($C$5)+2),""),"")</f>
        <v>0</v>
      </c>
    </row>
    <row r="24" spans="1:5">
      <c r="A24">
        <v>19</v>
      </c>
      <c r="B24">
        <f>IF($A24&lt;=ROWS(INDIRECT("pivot_" &amp; SUBSTITUTE($B$1," ","_") &amp; "_" &amp; IF(LEN($E$1)=0,"both",$E$1) &amp; "_data")),INDEX(INDIRECT("pivot_" &amp; SUBSTITUTE($B$1," ","_") &amp; "_" &amp; IF(LEN($E$1)=0,"both",$E$1) &amp; "_data"),$A24,1),"")</f>
        <v>0</v>
      </c>
      <c r="C24">
        <f>IF($A24&lt;=ROWS(INDIRECT("pivot_"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"_data"),$A24,COLUMN()-COLUMN($C$5)+2),""),"")</f>
        <v>0</v>
      </c>
      <c r="D24">
        <f>IF($A24&lt;=ROWS(INDIRECT("pivot_"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"_data"),$A24,COLUMN()-COLUMN($C$5)+2),""),"")</f>
        <v>0</v>
      </c>
      <c r="E24">
        <f>IF($A24&lt;=ROWS(INDIRECT("pivot_"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"_data"),$A24,COLUMN()-COLUMN($C$5)+2),""),"")</f>
        <v>0</v>
      </c>
    </row>
    <row r="25" spans="1:5">
      <c r="A25">
        <v>20</v>
      </c>
      <c r="B25">
        <f>IF($A25&lt;=ROWS(INDIRECT("pivot_" &amp; SUBSTITUTE($B$1," ","_") &amp; "_" &amp; IF(LEN($E$1)=0,"both",$E$1) &amp; "_data")),INDEX(INDIRECT("pivot_" &amp; SUBSTITUTE($B$1," ","_") &amp; "_" &amp; IF(LEN($E$1)=0,"both",$E$1) &amp; "_data"),$A25,1),"")</f>
        <v>0</v>
      </c>
      <c r="C25">
        <f>IF($A25&lt;=ROWS(INDIRECT("pivot_"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"_data"),$A25,COLUMN()-COLUMN($C$5)+2),""),"")</f>
        <v>0</v>
      </c>
      <c r="D25">
        <f>IF($A25&lt;=ROWS(INDIRECT("pivot_"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"_data"),$A25,COLUMN()-COLUMN($C$5)+2),""),"")</f>
        <v>0</v>
      </c>
      <c r="E25">
        <f>IF($A25&lt;=ROWS(INDIRECT("pivot_"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"_data"),$A25,COLUMN()-COLUMN($C$5)+2),""),"")</f>
        <v>0</v>
      </c>
    </row>
    <row r="26" spans="1:5">
      <c r="A26">
        <v>21</v>
      </c>
      <c r="B26">
        <f>IF($A26&lt;=ROWS(INDIRECT("pivot_" &amp; SUBSTITUTE($B$1," ","_") &amp; "_" &amp; IF(LEN($E$1)=0,"both",$E$1) &amp; "_data")),INDEX(INDIRECT("pivot_" &amp; SUBSTITUTE($B$1," ","_") &amp; "_" &amp; IF(LEN($E$1)=0,"both",$E$1) &amp; "_data"),$A26,1),"")</f>
        <v>0</v>
      </c>
      <c r="C26">
        <f>IF($A26&lt;=ROWS(INDIRECT("pivot_"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"_data"),$A26,COLUMN()-COLUMN($C$5)+2),""),"")</f>
        <v>0</v>
      </c>
      <c r="D26">
        <f>IF($A26&lt;=ROWS(INDIRECT("pivot_"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"_data"),$A26,COLUMN()-COLUMN($C$5)+2),""),"")</f>
        <v>0</v>
      </c>
      <c r="E26">
        <f>IF($A26&lt;=ROWS(INDIRECT("pivot_"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"_data"),$A26,COLUMN()-COLUMN($C$5)+2),""),"")</f>
        <v>0</v>
      </c>
    </row>
    <row r="27" spans="1:5">
      <c r="A27">
        <v>22</v>
      </c>
      <c r="B27">
        <f>IF($A27&lt;=ROWS(INDIRECT("pivot_" &amp; SUBSTITUTE($B$1," ","_") &amp; "_" &amp; IF(LEN($E$1)=0,"both",$E$1) &amp; "_data")),INDEX(INDIRECT("pivot_" &amp; SUBSTITUTE($B$1," ","_") &amp; "_" &amp; IF(LEN($E$1)=0,"both",$E$1) &amp; "_data"),$A27,1),"")</f>
        <v>0</v>
      </c>
      <c r="C27">
        <f>IF($A27&lt;=ROWS(INDIRECT("pivot_"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"_data"),$A27,COLUMN()-COLUMN($C$5)+2),""),"")</f>
        <v>0</v>
      </c>
      <c r="D27">
        <f>IF($A27&lt;=ROWS(INDIRECT("pivot_"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"_data"),$A27,COLUMN()-COLUMN($C$5)+2),""),"")</f>
        <v>0</v>
      </c>
      <c r="E27">
        <f>IF($A27&lt;=ROWS(INDIRECT("pivot_"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"_data"),$A27,COLUMN()-COLUMN($C$5)+2),""),"")</f>
        <v>0</v>
      </c>
    </row>
    <row r="28" spans="1:5">
      <c r="A28">
        <v>23</v>
      </c>
      <c r="B28">
        <f>IF($A28&lt;=ROWS(INDIRECT("pivot_" &amp; SUBSTITUTE($B$1," ","_") &amp; "_" &amp; IF(LEN($E$1)=0,"both",$E$1) &amp; "_data")),INDEX(INDIRECT("pivot_" &amp; SUBSTITUTE($B$1," ","_") &amp; "_" &amp; IF(LEN($E$1)=0,"both",$E$1) &amp; "_data"),$A28,1),"")</f>
        <v>0</v>
      </c>
      <c r="C28">
        <f>IF($A28&lt;=ROWS(INDIRECT("pivot_"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"_data"),$A28,COLUMN()-COLUMN($C$5)+2),""),"")</f>
        <v>0</v>
      </c>
      <c r="D28">
        <f>IF($A28&lt;=ROWS(INDIRECT("pivot_"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"_data"),$A28,COLUMN()-COLUMN($C$5)+2),""),"")</f>
        <v>0</v>
      </c>
      <c r="E28">
        <f>IF($A28&lt;=ROWS(INDIRECT("pivot_"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"_data"),$A28,COLUMN()-COLUMN($C$5)+2),""),"")</f>
        <v>0</v>
      </c>
    </row>
    <row r="29" spans="1:5">
      <c r="A29">
        <v>24</v>
      </c>
      <c r="B29">
        <f>IF($A29&lt;=ROWS(INDIRECT("pivot_" &amp; SUBSTITUTE($B$1," ","_") &amp; "_" &amp; IF(LEN($E$1)=0,"both",$E$1) &amp; "_data")),INDEX(INDIRECT("pivot_" &amp; SUBSTITUTE($B$1," ","_") &amp; "_" &amp; IF(LEN($E$1)=0,"both",$E$1) &amp; "_data"),$A29,1),"")</f>
        <v>0</v>
      </c>
      <c r="C29">
        <f>IF($A29&lt;=ROWS(INDIRECT("pivot_"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"_data"),$A29,COLUMN()-COLUMN($C$5)+2),""),"")</f>
        <v>0</v>
      </c>
      <c r="D29">
        <f>IF($A29&lt;=ROWS(INDIRECT("pivot_"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"_data"),$A29,COLUMN()-COLUMN($C$5)+2),""),"")</f>
        <v>0</v>
      </c>
      <c r="E29">
        <f>IF($A29&lt;=ROWS(INDIRECT("pivot_"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"_data"),$A29,COLUMN()-COLUMN($C$5)+2),""),"")</f>
        <v>0</v>
      </c>
    </row>
    <row r="30" spans="1:5">
      <c r="A30">
        <v>25</v>
      </c>
      <c r="B30">
        <f>IF($A30&lt;=ROWS(INDIRECT("pivot_" &amp; SUBSTITUTE($B$1," ","_") &amp; "_" &amp; IF(LEN($E$1)=0,"both",$E$1) &amp; "_data")),INDEX(INDIRECT("pivot_" &amp; SUBSTITUTE($B$1," ","_") &amp; "_" &amp; IF(LEN($E$1)=0,"both",$E$1) &amp; "_data"),$A30,1),"")</f>
        <v>0</v>
      </c>
      <c r="C30">
        <f>IF($A30&lt;=ROWS(INDIRECT("pivot_"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"_data"),$A30,COLUMN()-COLUMN($C$5)+2),""),"")</f>
        <v>0</v>
      </c>
      <c r="D30">
        <f>IF($A30&lt;=ROWS(INDIRECT("pivot_"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"_data"),$A30,COLUMN()-COLUMN($C$5)+2),""),"")</f>
        <v>0</v>
      </c>
      <c r="E30">
        <f>IF($A30&lt;=ROWS(INDIRECT("pivot_"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"_data"),$A30,COLUMN()-COLUMN($C$5)+2),""),"")</f>
        <v>0</v>
      </c>
    </row>
    <row r="31" spans="1:5">
      <c r="A31">
        <v>26</v>
      </c>
      <c r="B31">
        <f>IF($A31&lt;=ROWS(INDIRECT("pivot_" &amp; SUBSTITUTE($B$1," ","_") &amp; "_" &amp; IF(LEN($E$1)=0,"both",$E$1) &amp; "_data")),INDEX(INDIRECT("pivot_" &amp; SUBSTITUTE($B$1," ","_") &amp; "_" &amp; IF(LEN($E$1)=0,"both",$E$1) &amp; "_data"),$A31,1),"")</f>
        <v>0</v>
      </c>
      <c r="C31">
        <f>IF($A31&lt;=ROWS(INDIRECT("pivot_"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"_data"),$A31,COLUMN()-COLUMN($C$5)+2),""),"")</f>
        <v>0</v>
      </c>
      <c r="D31">
        <f>IF($A31&lt;=ROWS(INDIRECT("pivot_"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"_data"),$A31,COLUMN()-COLUMN($C$5)+2),""),"")</f>
        <v>0</v>
      </c>
      <c r="E31">
        <f>IF($A31&lt;=ROWS(INDIRECT("pivot_"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"_data"),$A31,COLUMN()-COLUMN($C$5)+2),""),"")</f>
        <v>0</v>
      </c>
    </row>
    <row r="32" spans="1:5">
      <c r="A32">
        <v>27</v>
      </c>
      <c r="B32">
        <f>IF($A32&lt;=ROWS(INDIRECT("pivot_" &amp; SUBSTITUTE($B$1," ","_") &amp; "_" &amp; IF(LEN($E$1)=0,"both",$E$1) &amp; "_data")),INDEX(INDIRECT("pivot_" &amp; SUBSTITUTE($B$1," ","_") &amp; "_" &amp; IF(LEN($E$1)=0,"both",$E$1) &amp; "_data"),$A32,1),"")</f>
        <v>0</v>
      </c>
      <c r="C32">
        <f>IF($A32&lt;=ROWS(INDIRECT("pivot_"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"_data"),$A32,COLUMN()-COLUMN($C$5)+2),""),"")</f>
        <v>0</v>
      </c>
      <c r="D32">
        <f>IF($A32&lt;=ROWS(INDIRECT("pivot_"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"_data"),$A32,COLUMN()-COLUMN($C$5)+2),""),"")</f>
        <v>0</v>
      </c>
      <c r="E32">
        <f>IF($A32&lt;=ROWS(INDIRECT("pivot_"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"_data"),$A32,COLUMN()-COLUMN($C$5)+2),""),"")</f>
        <v>0</v>
      </c>
    </row>
    <row r="33" spans="1:5">
      <c r="A33">
        <v>28</v>
      </c>
      <c r="B33">
        <f>IF($A33&lt;=ROWS(INDIRECT("pivot_" &amp; SUBSTITUTE($B$1," ","_") &amp; "_" &amp; IF(LEN($E$1)=0,"both",$E$1) &amp; "_data")),INDEX(INDIRECT("pivot_" &amp; SUBSTITUTE($B$1," ","_") &amp; "_" &amp; IF(LEN($E$1)=0,"both",$E$1) &amp; "_data"),$A33,1),"")</f>
        <v>0</v>
      </c>
      <c r="C33">
        <f>IF($A33&lt;=ROWS(INDIRECT("pivot_"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"_data"),$A33,COLUMN()-COLUMN($C$5)+2),""),"")</f>
        <v>0</v>
      </c>
      <c r="D33">
        <f>IF($A33&lt;=ROWS(INDIRECT("pivot_"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"_data"),$A33,COLUMN()-COLUMN($C$5)+2),""),"")</f>
        <v>0</v>
      </c>
      <c r="E33">
        <f>IF($A33&lt;=ROWS(INDIRECT("pivot_"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"_data"),$A33,COLUMN()-COLUMN($C$5)+2),""),"")</f>
        <v>0</v>
      </c>
    </row>
    <row r="34" spans="1:5">
      <c r="A34">
        <v>29</v>
      </c>
      <c r="B34">
        <f>IF($A34&lt;=ROWS(INDIRECT("pivot_" &amp; SUBSTITUTE($B$1," ","_") &amp; "_" &amp; IF(LEN($E$1)=0,"both",$E$1) &amp; "_data")),INDEX(INDIRECT("pivot_" &amp; SUBSTITUTE($B$1," ","_") &amp; "_" &amp; IF(LEN($E$1)=0,"both",$E$1) &amp; "_data"),$A34,1),"")</f>
        <v>0</v>
      </c>
      <c r="C34">
        <f>IF($A34&lt;=ROWS(INDIRECT("pivot_"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"_data"),$A34,COLUMN()-COLUMN($C$5)+2),""),"")</f>
        <v>0</v>
      </c>
      <c r="D34">
        <f>IF($A34&lt;=ROWS(INDIRECT("pivot_"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"_data"),$A34,COLUMN()-COLUMN($C$5)+2),""),"")</f>
        <v>0</v>
      </c>
      <c r="E34">
        <f>IF($A34&lt;=ROWS(INDIRECT("pivot_"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"_data"),$A34,COLUMN()-COLUMN($C$5)+2),""),"")</f>
        <v>0</v>
      </c>
    </row>
    <row r="35" spans="1:5">
      <c r="A35">
        <v>30</v>
      </c>
      <c r="B35">
        <f>IF($A35&lt;=ROWS(INDIRECT("pivot_" &amp; SUBSTITUTE($B$1," ","_") &amp; "_" &amp; IF(LEN($E$1)=0,"both",$E$1) &amp; "_data")),INDEX(INDIRECT("pivot_" &amp; SUBSTITUTE($B$1," ","_") &amp; "_" &amp; IF(LEN($E$1)=0,"both",$E$1) &amp; "_data"),$A35,1),"")</f>
        <v>0</v>
      </c>
      <c r="C35">
        <f>IF($A35&lt;=ROWS(INDIRECT("pivot_"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"_data"),$A35,COLUMN()-COLUMN($C$5)+2),""),"")</f>
        <v>0</v>
      </c>
      <c r="D35">
        <f>IF($A35&lt;=ROWS(INDIRECT("pivot_"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"_data"),$A35,COLUMN()-COLUMN($C$5)+2),""),"")</f>
        <v>0</v>
      </c>
      <c r="E35">
        <f>IF($A35&lt;=ROWS(INDIRECT("pivot_"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"_data"),$A35,COLUMN()-COLUMN($C$5)+2),""),"")</f>
        <v>0</v>
      </c>
    </row>
    <row r="36" spans="1:5">
      <c r="A36">
        <v>31</v>
      </c>
      <c r="B36">
        <f>IF($A36&lt;=ROWS(INDIRECT("pivot_" &amp; SUBSTITUTE($B$1," ","_") &amp; "_" &amp; IF(LEN($E$1)=0,"both",$E$1) &amp; "_data")),INDEX(INDIRECT("pivot_" &amp; SUBSTITUTE($B$1," ","_") &amp; "_" &amp; IF(LEN($E$1)=0,"both",$E$1) &amp; "_data"),$A36,1),"")</f>
        <v>0</v>
      </c>
      <c r="C36">
        <f>IF($A36&lt;=ROWS(INDIRECT("pivot_"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"_data"),$A36,COLUMN()-COLUMN($C$5)+2),""),"")</f>
        <v>0</v>
      </c>
      <c r="D36">
        <f>IF($A36&lt;=ROWS(INDIRECT("pivot_"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"_data"),$A36,COLUMN()-COLUMN($C$5)+2),""),"")</f>
        <v>0</v>
      </c>
      <c r="E36">
        <f>IF($A36&lt;=ROWS(INDIRECT("pivot_"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"_data"),$A36,COLUMN()-COLUMN($C$5)+2),""),"")</f>
        <v>0</v>
      </c>
    </row>
    <row r="37" spans="1:5">
      <c r="A37">
        <v>32</v>
      </c>
      <c r="B37">
        <f>IF($A37&lt;=ROWS(INDIRECT("pivot_" &amp; SUBSTITUTE($B$1," ","_") &amp; "_" &amp; IF(LEN($E$1)=0,"both",$E$1) &amp; "_data")),INDEX(INDIRECT("pivot_" &amp; SUBSTITUTE($B$1," ","_") &amp; "_" &amp; IF(LEN($E$1)=0,"both",$E$1) &amp; "_data"),$A37,1),"")</f>
        <v>0</v>
      </c>
      <c r="C37">
        <f>IF($A37&lt;=ROWS(INDIRECT("pivot_"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"_data"),$A37,COLUMN()-COLUMN($C$5)+2),""),"")</f>
        <v>0</v>
      </c>
      <c r="D37">
        <f>IF($A37&lt;=ROWS(INDIRECT("pivot_"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"_data"),$A37,COLUMN()-COLUMN($C$5)+2),""),"")</f>
        <v>0</v>
      </c>
      <c r="E37">
        <f>IF($A37&lt;=ROWS(INDIRECT("pivot_"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"_data"),$A37,COLUMN()-COLUMN($C$5)+2),""),"")</f>
        <v>0</v>
      </c>
    </row>
    <row r="38" spans="1:5">
      <c r="A38">
        <v>33</v>
      </c>
      <c r="B38">
        <f>IF($A38&lt;=ROWS(INDIRECT("pivot_" &amp; SUBSTITUTE($B$1," ","_") &amp; "_" &amp; IF(LEN($E$1)=0,"both",$E$1) &amp; "_data")),INDEX(INDIRECT("pivot_" &amp; SUBSTITUTE($B$1," ","_") &amp; "_" &amp; IF(LEN($E$1)=0,"both",$E$1) &amp; "_data"),$A38,1),"")</f>
        <v>0</v>
      </c>
      <c r="C38">
        <f>IF($A38&lt;=ROWS(INDIRECT("pivot_"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"_data"),$A38,COLUMN()-COLUMN($C$5)+2),""),"")</f>
        <v>0</v>
      </c>
      <c r="D38">
        <f>IF($A38&lt;=ROWS(INDIRECT("pivot_"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"_data"),$A38,COLUMN()-COLUMN($C$5)+2),""),"")</f>
        <v>0</v>
      </c>
      <c r="E38">
        <f>IF($A38&lt;=ROWS(INDIRECT("pivot_"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"_data"),$A38,COLUMN()-COLUMN($C$5)+2),""),"")</f>
        <v>0</v>
      </c>
    </row>
    <row r="39" spans="1:5">
      <c r="A39">
        <v>34</v>
      </c>
      <c r="B39">
        <f>IF($A39&lt;=ROWS(INDIRECT("pivot_" &amp; SUBSTITUTE($B$1," ","_") &amp; "_" &amp; IF(LEN($E$1)=0,"both",$E$1) &amp; "_data")),INDEX(INDIRECT("pivot_" &amp; SUBSTITUTE($B$1," ","_") &amp; "_" &amp; IF(LEN($E$1)=0,"both",$E$1) &amp; "_data"),$A39,1),"")</f>
        <v>0</v>
      </c>
      <c r="C39">
        <f>IF($A39&lt;=ROWS(INDIRECT("pivot_"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"_data"),$A39,COLUMN()-COLUMN($C$5)+2),""),"")</f>
        <v>0</v>
      </c>
      <c r="D39">
        <f>IF($A39&lt;=ROWS(INDIRECT("pivot_"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"_data"),$A39,COLUMN()-COLUMN($C$5)+2),""),"")</f>
        <v>0</v>
      </c>
      <c r="E39">
        <f>IF($A39&lt;=ROWS(INDIRECT("pivot_"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"_data"),$A39,COLUMN()-COLUMN($C$5)+2),""),"")</f>
        <v>0</v>
      </c>
    </row>
    <row r="40" spans="1:5">
      <c r="A40">
        <v>35</v>
      </c>
      <c r="B40">
        <f>IF($A40&lt;=ROWS(INDIRECT("pivot_" &amp; SUBSTITUTE($B$1," ","_") &amp; "_" &amp; IF(LEN($E$1)=0,"both",$E$1) &amp; "_data")),INDEX(INDIRECT("pivot_" &amp; SUBSTITUTE($B$1," ","_") &amp; "_" &amp; IF(LEN($E$1)=0,"both",$E$1) &amp; "_data"),$A40,1),"")</f>
        <v>0</v>
      </c>
      <c r="C40">
        <f>IF($A40&lt;=ROWS(INDIRECT("pivot_"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"_data"),$A40,COLUMN()-COLUMN($C$5)+2),""),"")</f>
        <v>0</v>
      </c>
      <c r="D40">
        <f>IF($A40&lt;=ROWS(INDIRECT("pivot_"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"_data"),$A40,COLUMN()-COLUMN($C$5)+2),""),"")</f>
        <v>0</v>
      </c>
      <c r="E40">
        <f>IF($A40&lt;=ROWS(INDIRECT("pivot_"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"_data"),$A40,COLUMN()-COLUMN($C$5)+2),""),"")</f>
        <v>0</v>
      </c>
    </row>
    <row r="41" spans="1:5">
      <c r="A41">
        <v>36</v>
      </c>
      <c r="B41">
        <f>IF($A41&lt;=ROWS(INDIRECT("pivot_" &amp; SUBSTITUTE($B$1," ","_") &amp; "_" &amp; IF(LEN($E$1)=0,"both",$E$1) &amp; "_data")),INDEX(INDIRECT("pivot_" &amp; SUBSTITUTE($B$1," ","_") &amp; "_" &amp; IF(LEN($E$1)=0,"both",$E$1) &amp; "_data"),$A41,1),"")</f>
        <v>0</v>
      </c>
      <c r="C41">
        <f>IF($A41&lt;=ROWS(INDIRECT("pivot_"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"_data"),$A41,COLUMN()-COLUMN($C$5)+2),""),"")</f>
        <v>0</v>
      </c>
      <c r="D41">
        <f>IF($A41&lt;=ROWS(INDIRECT("pivot_"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"_data"),$A41,COLUMN()-COLUMN($C$5)+2),""),"")</f>
        <v>0</v>
      </c>
      <c r="E41">
        <f>IF($A41&lt;=ROWS(INDIRECT("pivot_"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"_data"),$A41,COLUMN()-COLUMN($C$5)+2),""),"")</f>
        <v>0</v>
      </c>
    </row>
    <row r="42" spans="1:5">
      <c r="A42">
        <v>37</v>
      </c>
      <c r="B42">
        <f>IF($A42&lt;=ROWS(INDIRECT("pivot_" &amp; SUBSTITUTE($B$1," ","_") &amp; "_" &amp; IF(LEN($E$1)=0,"both",$E$1) &amp; "_data")),INDEX(INDIRECT("pivot_" &amp; SUBSTITUTE($B$1," ","_") &amp; "_" &amp; IF(LEN($E$1)=0,"both",$E$1) &amp; "_data"),$A42,1),"")</f>
        <v>0</v>
      </c>
      <c r="C42">
        <f>IF($A42&lt;=ROWS(INDIRECT("pivot_"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"_data"),$A42,COLUMN()-COLUMN($C$5)+2),""),"")</f>
        <v>0</v>
      </c>
      <c r="D42">
        <f>IF($A42&lt;=ROWS(INDIRECT("pivot_"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"_data"),$A42,COLUMN()-COLUMN($C$5)+2),""),"")</f>
        <v>0</v>
      </c>
      <c r="E42">
        <f>IF($A42&lt;=ROWS(INDIRECT("pivot_"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"_data"),$A42,COLUMN()-COLUMN($C$5)+2),""),"")</f>
        <v>0</v>
      </c>
    </row>
    <row r="43" spans="1:5">
      <c r="A43">
        <v>38</v>
      </c>
      <c r="B43">
        <f>IF($A43&lt;=ROWS(INDIRECT("pivot_" &amp; SUBSTITUTE($B$1," ","_") &amp; "_" &amp; IF(LEN($E$1)=0,"both",$E$1) &amp; "_data")),INDEX(INDIRECT("pivot_" &amp; SUBSTITUTE($B$1," ","_") &amp; "_" &amp; IF(LEN($E$1)=0,"both",$E$1) &amp; "_data"),$A43,1),"")</f>
        <v>0</v>
      </c>
      <c r="C43">
        <f>IF($A43&lt;=ROWS(INDIRECT("pivot_"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"_data"),$A43,COLUMN()-COLUMN($C$5)+2),""),"")</f>
        <v>0</v>
      </c>
      <c r="D43">
        <f>IF($A43&lt;=ROWS(INDIRECT("pivot_"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"_data"),$A43,COLUMN()-COLUMN($C$5)+2),""),"")</f>
        <v>0</v>
      </c>
      <c r="E43">
        <f>IF($A43&lt;=ROWS(INDIRECT("pivot_"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"_data"),$A43,COLUMN()-COLUMN($C$5)+2),""),"")</f>
        <v>0</v>
      </c>
    </row>
    <row r="44" spans="1:5">
      <c r="A44">
        <v>39</v>
      </c>
      <c r="B44">
        <f>IF($A44&lt;=ROWS(INDIRECT("pivot_" &amp; SUBSTITUTE($B$1," ","_") &amp; "_" &amp; IF(LEN($E$1)=0,"both",$E$1) &amp; "_data")),INDEX(INDIRECT("pivot_" &amp; SUBSTITUTE($B$1," ","_") &amp; "_" &amp; IF(LEN($E$1)=0,"both",$E$1) &amp; "_data"),$A44,1),"")</f>
        <v>0</v>
      </c>
      <c r="C44">
        <f>IF($A44&lt;=ROWS(INDIRECT("pivot_"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"_data"),$A44,COLUMN()-COLUMN($C$5)+2),""),"")</f>
        <v>0</v>
      </c>
      <c r="D44">
        <f>IF($A44&lt;=ROWS(INDIRECT("pivot_"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"_data"),$A44,COLUMN()-COLUMN($C$5)+2),""),"")</f>
        <v>0</v>
      </c>
      <c r="E44">
        <f>IF($A44&lt;=ROWS(INDIRECT("pivot_"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"_data"),$A44,COLUMN()-COLUMN($C$5)+2),""),"")</f>
        <v>0</v>
      </c>
    </row>
    <row r="45" spans="1:5">
      <c r="A45">
        <v>40</v>
      </c>
      <c r="B45">
        <f>IF($A45&lt;=ROWS(INDIRECT("pivot_" &amp; SUBSTITUTE($B$1," ","_") &amp; "_" &amp; IF(LEN($E$1)=0,"both",$E$1) &amp; "_data")),INDEX(INDIRECT("pivot_" &amp; SUBSTITUTE($B$1," ","_") &amp; "_" &amp; IF(LEN($E$1)=0,"both",$E$1) &amp; "_data"),$A45,1),"")</f>
        <v>0</v>
      </c>
      <c r="C45">
        <f>IF($A45&lt;=ROWS(INDIRECT("pivot_"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"_data"),$A45,COLUMN()-COLUMN($C$5)+2),""),"")</f>
        <v>0</v>
      </c>
      <c r="D45">
        <f>IF($A45&lt;=ROWS(INDIRECT("pivot_"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"_data"),$A45,COLUMN()-COLUMN($C$5)+2),""),"")</f>
        <v>0</v>
      </c>
      <c r="E45">
        <f>IF($A45&lt;=ROWS(INDIRECT("pivot_"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"_data"),$A45,COLUMN()-COLUMN($C$5)+2),""),"")</f>
        <v>0</v>
      </c>
    </row>
    <row r="46" spans="1:5">
      <c r="A46">
        <v>41</v>
      </c>
      <c r="B46">
        <f>IF($A46&lt;=ROWS(INDIRECT("pivot_" &amp; SUBSTITUTE($B$1," ","_") &amp; "_" &amp; IF(LEN($E$1)=0,"both",$E$1) &amp; "_data")),INDEX(INDIRECT("pivot_" &amp; SUBSTITUTE($B$1," ","_") &amp; "_" &amp; IF(LEN($E$1)=0,"both",$E$1) &amp; "_data"),$A46,1),"")</f>
        <v>0</v>
      </c>
      <c r="C46">
        <f>IF($A46&lt;=ROWS(INDIRECT("pivot_"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"_data"),$A46,COLUMN()-COLUMN($C$5)+2),""),"")</f>
        <v>0</v>
      </c>
      <c r="D46">
        <f>IF($A46&lt;=ROWS(INDIRECT("pivot_"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"_data"),$A46,COLUMN()-COLUMN($C$5)+2),""),"")</f>
        <v>0</v>
      </c>
      <c r="E46">
        <f>IF($A46&lt;=ROWS(INDIRECT("pivot_"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"_data"),$A46,COLUMN()-COLUMN($C$5)+2),""),"")</f>
        <v>0</v>
      </c>
    </row>
    <row r="47" spans="1:5">
      <c r="A47">
        <v>42</v>
      </c>
      <c r="B47">
        <f>IF($A47&lt;=ROWS(INDIRECT("pivot_" &amp; SUBSTITUTE($B$1," ","_") &amp; "_" &amp; IF(LEN($E$1)=0,"both",$E$1) &amp; "_data")),INDEX(INDIRECT("pivot_" &amp; SUBSTITUTE($B$1," ","_") &amp; "_" &amp; IF(LEN($E$1)=0,"both",$E$1) &amp; "_data"),$A47,1),"")</f>
        <v>0</v>
      </c>
      <c r="C47">
        <f>IF($A47&lt;=ROWS(INDIRECT("pivot_"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"_data"),$A47,COLUMN()-COLUMN($C$5)+2),""),"")</f>
        <v>0</v>
      </c>
      <c r="D47">
        <f>IF($A47&lt;=ROWS(INDIRECT("pivot_"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"_data"),$A47,COLUMN()-COLUMN($C$5)+2),""),"")</f>
        <v>0</v>
      </c>
      <c r="E47">
        <f>IF($A47&lt;=ROWS(INDIRECT("pivot_"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"_data"),$A47,COLUMN()-COLUMN($C$5)+2),""),"")</f>
        <v>0</v>
      </c>
    </row>
    <row r="48" spans="1:5">
      <c r="A48">
        <v>43</v>
      </c>
      <c r="B48">
        <f>IF($A48&lt;=ROWS(INDIRECT("pivot_" &amp; SUBSTITUTE($B$1," ","_") &amp; "_" &amp; IF(LEN($E$1)=0,"both",$E$1) &amp; "_data")),INDEX(INDIRECT("pivot_" &amp; SUBSTITUTE($B$1," ","_") &amp; "_" &amp; IF(LEN($E$1)=0,"both",$E$1) &amp; "_data"),$A48,1),"")</f>
        <v>0</v>
      </c>
      <c r="C48">
        <f>IF($A48&lt;=ROWS(INDIRECT("pivot_"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"_data"),$A48,COLUMN()-COLUMN($C$5)+2),""),"")</f>
        <v>0</v>
      </c>
      <c r="D48">
        <f>IF($A48&lt;=ROWS(INDIRECT("pivot_"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"_data"),$A48,COLUMN()-COLUMN($C$5)+2),""),"")</f>
        <v>0</v>
      </c>
      <c r="E48">
        <f>IF($A48&lt;=ROWS(INDIRECT("pivot_"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"_data"),$A48,COLUMN()-COLUMN($C$5)+2),""),"")</f>
        <v>0</v>
      </c>
    </row>
    <row r="49" spans="1:5">
      <c r="A49">
        <v>44</v>
      </c>
      <c r="B49">
        <f>IF($A49&lt;=ROWS(INDIRECT("pivot_" &amp; SUBSTITUTE($B$1," ","_") &amp; "_" &amp; IF(LEN($E$1)=0,"both",$E$1) &amp; "_data")),INDEX(INDIRECT("pivot_" &amp; SUBSTITUTE($B$1," ","_") &amp; "_" &amp; IF(LEN($E$1)=0,"both",$E$1) &amp; "_data"),$A49,1),"")</f>
        <v>0</v>
      </c>
      <c r="C49">
        <f>IF($A49&lt;=ROWS(INDIRECT("pivot_"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"_data"),$A49,COLUMN()-COLUMN($C$5)+2),""),"")</f>
        <v>0</v>
      </c>
      <c r="D49">
        <f>IF($A49&lt;=ROWS(INDIRECT("pivot_"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"_data"),$A49,COLUMN()-COLUMN($C$5)+2),""),"")</f>
        <v>0</v>
      </c>
      <c r="E49">
        <f>IF($A49&lt;=ROWS(INDIRECT("pivot_"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"_data"),$A49,COLUMN()-COLUMN($C$5)+2),""),"")</f>
        <v>0</v>
      </c>
    </row>
    <row r="50" spans="1:5">
      <c r="A50">
        <v>45</v>
      </c>
      <c r="B50">
        <f>IF($A50&lt;=ROWS(INDIRECT("pivot_" &amp; SUBSTITUTE($B$1," ","_") &amp; "_" &amp; IF(LEN($E$1)=0,"both",$E$1) &amp; "_data")),INDEX(INDIRECT("pivot_" &amp; SUBSTITUTE($B$1," ","_") &amp; "_" &amp; IF(LEN($E$1)=0,"both",$E$1) &amp; "_data"),$A50,1),"")</f>
        <v>0</v>
      </c>
      <c r="C50">
        <f>IF($A50&lt;=ROWS(INDIRECT("pivot_"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"_data"),$A50,COLUMN()-COLUMN($C$5)+2),""),"")</f>
        <v>0</v>
      </c>
      <c r="D50">
        <f>IF($A50&lt;=ROWS(INDIRECT("pivot_"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"_data"),$A50,COLUMN()-COLUMN($C$5)+2),""),"")</f>
        <v>0</v>
      </c>
      <c r="E50">
        <f>IF($A50&lt;=ROWS(INDIRECT("pivot_"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"_data"),$A50,COLUMN()-COLUMN($C$5)+2),""),"")</f>
        <v>0</v>
      </c>
    </row>
    <row r="51" spans="1:5">
      <c r="A51">
        <v>46</v>
      </c>
      <c r="B51">
        <f>IF($A51&lt;=ROWS(INDIRECT("pivot_" &amp; SUBSTITUTE($B$1," ","_") &amp; "_" &amp; IF(LEN($E$1)=0,"both",$E$1) &amp; "_data")),INDEX(INDIRECT("pivot_" &amp; SUBSTITUTE($B$1," ","_") &amp; "_" &amp; IF(LEN($E$1)=0,"both",$E$1) &amp; "_data"),$A51,1),"")</f>
        <v>0</v>
      </c>
      <c r="C51">
        <f>IF($A51&lt;=ROWS(INDIRECT("pivot_"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"_data"),$A51,COLUMN()-COLUMN($C$5)+2),""),"")</f>
        <v>0</v>
      </c>
      <c r="D51">
        <f>IF($A51&lt;=ROWS(INDIRECT("pivot_"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"_data"),$A51,COLUMN()-COLUMN($C$5)+2),""),"")</f>
        <v>0</v>
      </c>
      <c r="E51">
        <f>IF($A51&lt;=ROWS(INDIRECT("pivot_"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"_data"),$A51,COLUMN()-COLUMN($C$5)+2),""),"")</f>
        <v>0</v>
      </c>
    </row>
    <row r="52" spans="1:5">
      <c r="A52">
        <v>47</v>
      </c>
      <c r="B52">
        <f>IF($A52&lt;=ROWS(INDIRECT("pivot_" &amp; SUBSTITUTE($B$1," ","_") &amp; "_" &amp; IF(LEN($E$1)=0,"both",$E$1) &amp; "_data")),INDEX(INDIRECT("pivot_" &amp; SUBSTITUTE($B$1," ","_") &amp; "_" &amp; IF(LEN($E$1)=0,"both",$E$1) &amp; "_data"),$A52,1),"")</f>
        <v>0</v>
      </c>
      <c r="C52">
        <f>IF($A52&lt;=ROWS(INDIRECT("pivot_"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"_data"),$A52,COLUMN()-COLUMN($C$5)+2),""),"")</f>
        <v>0</v>
      </c>
      <c r="D52">
        <f>IF($A52&lt;=ROWS(INDIRECT("pivot_"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"_data"),$A52,COLUMN()-COLUMN($C$5)+2),""),"")</f>
        <v>0</v>
      </c>
      <c r="E52">
        <f>IF($A52&lt;=ROWS(INDIRECT("pivot_"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"_data"),$A52,COLUMN()-COLUMN($C$5)+2),""),"")</f>
        <v>0</v>
      </c>
    </row>
    <row r="53" spans="1:5">
      <c r="A53">
        <v>48</v>
      </c>
      <c r="B53">
        <f>IF($A53&lt;=ROWS(INDIRECT("pivot_" &amp; SUBSTITUTE($B$1," ","_") &amp; "_" &amp; IF(LEN($E$1)=0,"both",$E$1) &amp; "_data")),INDEX(INDIRECT("pivot_" &amp; SUBSTITUTE($B$1," ","_") &amp; "_" &amp; IF(LEN($E$1)=0,"both",$E$1) &amp; "_data"),$A53,1),"")</f>
        <v>0</v>
      </c>
      <c r="C53">
        <f>IF($A53&lt;=ROWS(INDIRECT("pivot_"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"_data"),$A53,COLUMN()-COLUMN($C$5)+2),""),"")</f>
        <v>0</v>
      </c>
      <c r="D53">
        <f>IF($A53&lt;=ROWS(INDIRECT("pivot_"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"_data"),$A53,COLUMN()-COLUMN($C$5)+2),""),"")</f>
        <v>0</v>
      </c>
      <c r="E53">
        <f>IF($A53&lt;=ROWS(INDIRECT("pivot_"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"_data"),$A53,COLUMN()-COLUMN($C$5)+2),""),"")</f>
        <v>0</v>
      </c>
    </row>
    <row r="54" spans="1:5">
      <c r="A54">
        <v>49</v>
      </c>
      <c r="B54">
        <f>IF($A54&lt;=ROWS(INDIRECT("pivot_" &amp; SUBSTITUTE($B$1," ","_") &amp; "_" &amp; IF(LEN($E$1)=0,"both",$E$1) &amp; "_data")),INDEX(INDIRECT("pivot_" &amp; SUBSTITUTE($B$1," ","_") &amp; "_" &amp; IF(LEN($E$1)=0,"both",$E$1) &amp; "_data"),$A54,1),"")</f>
        <v>0</v>
      </c>
      <c r="C54">
        <f>IF($A54&lt;=ROWS(INDIRECT("pivot_"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"_data"),$A54,COLUMN()-COLUMN($C$5)+2),""),"")</f>
        <v>0</v>
      </c>
      <c r="D54">
        <f>IF($A54&lt;=ROWS(INDIRECT("pivot_"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"_data"),$A54,COLUMN()-COLUMN($C$5)+2),""),"")</f>
        <v>0</v>
      </c>
      <c r="E54">
        <f>IF($A54&lt;=ROWS(INDIRECT("pivot_"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"_data"),$A54,COLUMN()-COLUMN($C$5)+2),""),"")</f>
        <v>0</v>
      </c>
    </row>
    <row r="55" spans="1:5">
      <c r="A55">
        <v>50</v>
      </c>
      <c r="B55">
        <f>IF($A55&lt;=ROWS(INDIRECT("pivot_" &amp; SUBSTITUTE($B$1," ","_") &amp; "_" &amp; IF(LEN($E$1)=0,"both",$E$1) &amp; "_data")),INDEX(INDIRECT("pivot_" &amp; SUBSTITUTE($B$1," ","_") &amp; "_" &amp; IF(LEN($E$1)=0,"both",$E$1) &amp; "_data"),$A55,1),"")</f>
        <v>0</v>
      </c>
      <c r="C55">
        <f>IF($A55&lt;=ROWS(INDIRECT("pivot_"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"_data"),$A55,COLUMN()-COLUMN($C$5)+2),""),"")</f>
        <v>0</v>
      </c>
      <c r="D55">
        <f>IF($A55&lt;=ROWS(INDIRECT("pivot_"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"_data"),$A55,COLUMN()-COLUMN($C$5)+2),""),"")</f>
        <v>0</v>
      </c>
      <c r="E55">
        <f>IF($A55&lt;=ROWS(INDIRECT("pivot_"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"_data"),$A55,COLUMN()-COLUMN($C$5)+2),""),"")</f>
        <v>0</v>
      </c>
    </row>
    <row r="56" spans="1:5">
      <c r="A56">
        <v>51</v>
      </c>
      <c r="B56">
        <f>IF($A56&lt;=ROWS(INDIRECT("pivot_" &amp; SUBSTITUTE($B$1," ","_") &amp; "_" &amp; IF(LEN($E$1)=0,"both",$E$1) &amp; "_data")),INDEX(INDIRECT("pivot_" &amp; SUBSTITUTE($B$1," ","_") &amp; "_" &amp; IF(LEN($E$1)=0,"both",$E$1) &amp; "_data"),$A56,1),"")</f>
        <v>0</v>
      </c>
      <c r="C56">
        <f>IF($A56&lt;=ROWS(INDIRECT("pivot_"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"_data"),$A56,COLUMN()-COLUMN($C$5)+2),""),"")</f>
        <v>0</v>
      </c>
      <c r="D56">
        <f>IF($A56&lt;=ROWS(INDIRECT("pivot_"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"_data"),$A56,COLUMN()-COLUMN($C$5)+2),""),"")</f>
        <v>0</v>
      </c>
      <c r="E56">
        <f>IF($A56&lt;=ROWS(INDIRECT("pivot_"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"_data"),$A56,COLUMN()-COLUMN($C$5)+2),""),"")</f>
        <v>0</v>
      </c>
    </row>
    <row r="57" spans="1:5">
      <c r="A57">
        <v>52</v>
      </c>
      <c r="B57">
        <f>IF($A57&lt;=ROWS(INDIRECT("pivot_" &amp; SUBSTITUTE($B$1," ","_") &amp; "_" &amp; IF(LEN($E$1)=0,"both",$E$1) &amp; "_data")),INDEX(INDIRECT("pivot_" &amp; SUBSTITUTE($B$1," ","_") &amp; "_" &amp; IF(LEN($E$1)=0,"both",$E$1) &amp; "_data"),$A57,1),"")</f>
        <v>0</v>
      </c>
      <c r="C57">
        <f>IF($A57&lt;=ROWS(INDIRECT("pivot_"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"_data"),$A57,COLUMN()-COLUMN($C$5)+2),""),"")</f>
        <v>0</v>
      </c>
      <c r="D57">
        <f>IF($A57&lt;=ROWS(INDIRECT("pivot_"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"_data"),$A57,COLUMN()-COLUMN($C$5)+2),""),"")</f>
        <v>0</v>
      </c>
      <c r="E57">
        <f>IF($A57&lt;=ROWS(INDIRECT("pivot_"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"_data"),$A57,COLUMN()-COLUMN($C$5)+2),""),"")</f>
        <v>0</v>
      </c>
    </row>
    <row r="58" spans="1:5">
      <c r="A58">
        <v>53</v>
      </c>
      <c r="B58">
        <f>IF($A58&lt;=ROWS(INDIRECT("pivot_" &amp; SUBSTITUTE($B$1," ","_") &amp; "_" &amp; IF(LEN($E$1)=0,"both",$E$1) &amp; "_data")),INDEX(INDIRECT("pivot_" &amp; SUBSTITUTE($B$1," ","_") &amp; "_" &amp; IF(LEN($E$1)=0,"both",$E$1) &amp; "_data"),$A58,1),"")</f>
        <v>0</v>
      </c>
      <c r="C58">
        <f>IF($A58&lt;=ROWS(INDIRECT("pivot_"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"_data"),$A58,COLUMN()-COLUMN($C$5)+2),""),"")</f>
        <v>0</v>
      </c>
      <c r="D58">
        <f>IF($A58&lt;=ROWS(INDIRECT("pivot_"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"_data"),$A58,COLUMN()-COLUMN($C$5)+2),""),"")</f>
        <v>0</v>
      </c>
      <c r="E58">
        <f>IF($A58&lt;=ROWS(INDIRECT("pivot_"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"_data"),$A58,COLUMN()-COLUMN($C$5)+2),""),"")</f>
        <v>0</v>
      </c>
    </row>
    <row r="59" spans="1:5">
      <c r="A59">
        <v>54</v>
      </c>
      <c r="B59">
        <f>IF($A59&lt;=ROWS(INDIRECT("pivot_" &amp; SUBSTITUTE($B$1," ","_") &amp; "_" &amp; IF(LEN($E$1)=0,"both",$E$1) &amp; "_data")),INDEX(INDIRECT("pivot_" &amp; SUBSTITUTE($B$1," ","_") &amp; "_" &amp; IF(LEN($E$1)=0,"both",$E$1) &amp; "_data"),$A59,1),"")</f>
        <v>0</v>
      </c>
      <c r="C59">
        <f>IF($A59&lt;=ROWS(INDIRECT("pivot_"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"_data"),$A59,COLUMN()-COLUMN($C$5)+2),""),"")</f>
        <v>0</v>
      </c>
      <c r="D59">
        <f>IF($A59&lt;=ROWS(INDIRECT("pivot_"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"_data"),$A59,COLUMN()-COLUMN($C$5)+2),""),"")</f>
        <v>0</v>
      </c>
      <c r="E59">
        <f>IF($A59&lt;=ROWS(INDIRECT("pivot_"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"_data"),$A59,COLUMN()-COLUMN($C$5)+2),""),"")</f>
        <v>0</v>
      </c>
    </row>
    <row r="60" spans="1:5">
      <c r="A60">
        <v>55</v>
      </c>
      <c r="B60">
        <f>IF($A60&lt;=ROWS(INDIRECT("pivot_" &amp; SUBSTITUTE($B$1," ","_") &amp; "_" &amp; IF(LEN($E$1)=0,"both",$E$1) &amp; "_data")),INDEX(INDIRECT("pivot_" &amp; SUBSTITUTE($B$1," ","_") &amp; "_" &amp; IF(LEN($E$1)=0,"both",$E$1) &amp; "_data"),$A60,1),"")</f>
        <v>0</v>
      </c>
      <c r="C60">
        <f>IF($A60&lt;=ROWS(INDIRECT("pivot_"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"_data"),$A60,COLUMN()-COLUMN($C$5)+2),""),"")</f>
        <v>0</v>
      </c>
      <c r="D60">
        <f>IF($A60&lt;=ROWS(INDIRECT("pivot_"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"_data"),$A60,COLUMN()-COLUMN($C$5)+2),""),"")</f>
        <v>0</v>
      </c>
      <c r="E60">
        <f>IF($A60&lt;=ROWS(INDIRECT("pivot_"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"_data"),$A60,COLUMN()-COLUMN($C$5)+2),""),"")</f>
        <v>0</v>
      </c>
    </row>
    <row r="61" spans="1:5">
      <c r="A61">
        <v>56</v>
      </c>
      <c r="B61">
        <f>IF($A61&lt;=ROWS(INDIRECT("pivot_" &amp; SUBSTITUTE($B$1," ","_") &amp; "_" &amp; IF(LEN($E$1)=0,"both",$E$1) &amp; "_data")),INDEX(INDIRECT("pivot_" &amp; SUBSTITUTE($B$1," ","_") &amp; "_" &amp; IF(LEN($E$1)=0,"both",$E$1) &amp; "_data"),$A61,1),"")</f>
        <v>0</v>
      </c>
      <c r="C61">
        <f>IF($A61&lt;=ROWS(INDIRECT("pivot_"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"_data"),$A61,COLUMN()-COLUMN($C$5)+2),""),"")</f>
        <v>0</v>
      </c>
      <c r="D61">
        <f>IF($A61&lt;=ROWS(INDIRECT("pivot_"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"_data"),$A61,COLUMN()-COLUMN($C$5)+2),""),"")</f>
        <v>0</v>
      </c>
      <c r="E61">
        <f>IF($A61&lt;=ROWS(INDIRECT("pivot_"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"_data"),$A61,COLUMN()-COLUMN($C$5)+2),""),"")</f>
        <v>0</v>
      </c>
    </row>
    <row r="62" spans="1:5">
      <c r="A62">
        <v>57</v>
      </c>
      <c r="B62">
        <f>IF($A62&lt;=ROWS(INDIRECT("pivot_" &amp; SUBSTITUTE($B$1," ","_") &amp; "_" &amp; IF(LEN($E$1)=0,"both",$E$1) &amp; "_data")),INDEX(INDIRECT("pivot_" &amp; SUBSTITUTE($B$1," ","_") &amp; "_" &amp; IF(LEN($E$1)=0,"both",$E$1) &amp; "_data"),$A62,1),"")</f>
        <v>0</v>
      </c>
      <c r="C62">
        <f>IF($A62&lt;=ROWS(INDIRECT("pivot_"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"_data"),$A62,COLUMN()-COLUMN($C$5)+2),""),"")</f>
        <v>0</v>
      </c>
      <c r="D62">
        <f>IF($A62&lt;=ROWS(INDIRECT("pivot_"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"_data"),$A62,COLUMN()-COLUMN($C$5)+2),""),"")</f>
        <v>0</v>
      </c>
      <c r="E62">
        <f>IF($A62&lt;=ROWS(INDIRECT("pivot_"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"_data"),$A62,COLUMN()-COLUMN($C$5)+2),""),"")</f>
        <v>0</v>
      </c>
    </row>
    <row r="63" spans="1:5">
      <c r="A63">
        <v>58</v>
      </c>
      <c r="B63">
        <f>IF($A63&lt;=ROWS(INDIRECT("pivot_" &amp; SUBSTITUTE($B$1," ","_") &amp; "_" &amp; IF(LEN($E$1)=0,"both",$E$1) &amp; "_data")),INDEX(INDIRECT("pivot_" &amp; SUBSTITUTE($B$1," ","_") &amp; "_" &amp; IF(LEN($E$1)=0,"both",$E$1) &amp; "_data"),$A63,1),"")</f>
        <v>0</v>
      </c>
      <c r="C63">
        <f>IF($A63&lt;=ROWS(INDIRECT("pivot_"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"_data"),$A63,COLUMN()-COLUMN($C$5)+2),""),"")</f>
        <v>0</v>
      </c>
      <c r="D63">
        <f>IF($A63&lt;=ROWS(INDIRECT("pivot_"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"_data"),$A63,COLUMN()-COLUMN($C$5)+2),""),"")</f>
        <v>0</v>
      </c>
      <c r="E63">
        <f>IF($A63&lt;=ROWS(INDIRECT("pivot_"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"_data"),$A63,COLUMN()-COLUMN($C$5)+2),""),"")</f>
        <v>0</v>
      </c>
    </row>
    <row r="64" spans="1:5">
      <c r="A64">
        <v>59</v>
      </c>
      <c r="B64">
        <f>IF($A64&lt;=ROWS(INDIRECT("pivot_" &amp; SUBSTITUTE($B$1," ","_") &amp; "_" &amp; IF(LEN($E$1)=0,"both",$E$1) &amp; "_data")),INDEX(INDIRECT("pivot_" &amp; SUBSTITUTE($B$1," ","_") &amp; "_" &amp; IF(LEN($E$1)=0,"both",$E$1) &amp; "_data"),$A64,1),"")</f>
        <v>0</v>
      </c>
      <c r="C64">
        <f>IF($A64&lt;=ROWS(INDIRECT("pivot_"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"_data"),$A64,COLUMN()-COLUMN($C$5)+2),""),"")</f>
        <v>0</v>
      </c>
      <c r="D64">
        <f>IF($A64&lt;=ROWS(INDIRECT("pivot_"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"_data"),$A64,COLUMN()-COLUMN($C$5)+2),""),"")</f>
        <v>0</v>
      </c>
      <c r="E64">
        <f>IF($A64&lt;=ROWS(INDIRECT("pivot_"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"_data"),$A64,COLUMN()-COLUMN($C$5)+2),""),"")</f>
        <v>0</v>
      </c>
    </row>
    <row r="65" spans="1:5">
      <c r="A65">
        <v>60</v>
      </c>
      <c r="B65">
        <f>IF($A65&lt;=ROWS(INDIRECT("pivot_" &amp; SUBSTITUTE($B$1," ","_") &amp; "_" &amp; IF(LEN($E$1)=0,"both",$E$1) &amp; "_data")),INDEX(INDIRECT("pivot_" &amp; SUBSTITUTE($B$1," ","_") &amp; "_" &amp; IF(LEN($E$1)=0,"both",$E$1) &amp; "_data"),$A65,1),"")</f>
        <v>0</v>
      </c>
      <c r="C65">
        <f>IF($A65&lt;=ROWS(INDIRECT("pivot_"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"_data"),$A65,COLUMN()-COLUMN($C$5)+2),""),"")</f>
        <v>0</v>
      </c>
      <c r="D65">
        <f>IF($A65&lt;=ROWS(INDIRECT("pivot_"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"_data"),$A65,COLUMN()-COLUMN($C$5)+2),""),"")</f>
        <v>0</v>
      </c>
      <c r="E65">
        <f>IF($A65&lt;=ROWS(INDIRECT("pivot_"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"_data"),$A65,COLUMN()-COLUMN($C$5)+2),""),"")</f>
        <v>0</v>
      </c>
    </row>
    <row r="66" spans="1:5">
      <c r="A66">
        <v>61</v>
      </c>
      <c r="B66">
        <f>IF($A66&lt;=ROWS(INDIRECT("pivot_" &amp; SUBSTITUTE($B$1," ","_") &amp; "_" &amp; IF(LEN($E$1)=0,"both",$E$1) &amp; "_data")),INDEX(INDIRECT("pivot_" &amp; SUBSTITUTE($B$1," ","_") &amp; "_" &amp; IF(LEN($E$1)=0,"both",$E$1) &amp; "_data"),$A66,1),"")</f>
        <v>0</v>
      </c>
      <c r="C66">
        <f>IF($A66&lt;=ROWS(INDIRECT("pivot_"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"_data"),$A66,COLUMN()-COLUMN($C$5)+2),""),"")</f>
        <v>0</v>
      </c>
      <c r="D66">
        <f>IF($A66&lt;=ROWS(INDIRECT("pivot_"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"_data"),$A66,COLUMN()-COLUMN($C$5)+2),""),"")</f>
        <v>0</v>
      </c>
      <c r="E66">
        <f>IF($A66&lt;=ROWS(INDIRECT("pivot_"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"_data"),$A66,COLUMN()-COLUMN($C$5)+2),""),"")</f>
        <v>0</v>
      </c>
    </row>
    <row r="67" spans="1:5">
      <c r="A67">
        <v>62</v>
      </c>
      <c r="B67">
        <f>IF($A67&lt;=ROWS(INDIRECT("pivot_" &amp; SUBSTITUTE($B$1," ","_") &amp; "_" &amp; IF(LEN($E$1)=0,"both",$E$1) &amp; "_data")),INDEX(INDIRECT("pivot_" &amp; SUBSTITUTE($B$1," ","_") &amp; "_" &amp; IF(LEN($E$1)=0,"both",$E$1) &amp; "_data"),$A67,1),"")</f>
        <v>0</v>
      </c>
      <c r="C67">
        <f>IF($A67&lt;=ROWS(INDIRECT("pivot_"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"_data"),$A67,COLUMN()-COLUMN($C$5)+2),""),"")</f>
        <v>0</v>
      </c>
      <c r="D67">
        <f>IF($A67&lt;=ROWS(INDIRECT("pivot_"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"_data"),$A67,COLUMN()-COLUMN($C$5)+2),""),"")</f>
        <v>0</v>
      </c>
      <c r="E67">
        <f>IF($A67&lt;=ROWS(INDIRECT("pivot_"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"_data"),$A67,COLUMN()-COLUMN($C$5)+2),""),"")</f>
        <v>0</v>
      </c>
    </row>
    <row r="68" spans="1:5">
      <c r="A68">
        <v>63</v>
      </c>
      <c r="B68">
        <f>IF($A68&lt;=ROWS(INDIRECT("pivot_" &amp; SUBSTITUTE($B$1," ","_") &amp; "_" &amp; IF(LEN($E$1)=0,"both",$E$1) &amp; "_data")),INDEX(INDIRECT("pivot_" &amp; SUBSTITUTE($B$1," ","_") &amp; "_" &amp; IF(LEN($E$1)=0,"both",$E$1) &amp; "_data"),$A68,1),"")</f>
        <v>0</v>
      </c>
      <c r="C68">
        <f>IF($A68&lt;=ROWS(INDIRECT("pivot_"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"_data"),$A68,COLUMN()-COLUMN($C$5)+2),""),"")</f>
        <v>0</v>
      </c>
      <c r="D68">
        <f>IF($A68&lt;=ROWS(INDIRECT("pivot_"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"_data"),$A68,COLUMN()-COLUMN($C$5)+2),""),"")</f>
        <v>0</v>
      </c>
      <c r="E68">
        <f>IF($A68&lt;=ROWS(INDIRECT("pivot_"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"_data"),$A68,COLUMN()-COLUMN($C$5)+2),""),"")</f>
        <v>0</v>
      </c>
    </row>
    <row r="69" spans="1:5">
      <c r="A69">
        <v>64</v>
      </c>
      <c r="B69">
        <f>IF($A69&lt;=ROWS(INDIRECT("pivot_" &amp; SUBSTITUTE($B$1," ","_") &amp; "_" &amp; IF(LEN($E$1)=0,"both",$E$1) &amp; "_data")),INDEX(INDIRECT("pivot_" &amp; SUBSTITUTE($B$1," ","_") &amp; "_" &amp; IF(LEN($E$1)=0,"both",$E$1) &amp; "_data"),$A69,1),"")</f>
        <v>0</v>
      </c>
      <c r="C69">
        <f>IF($A69&lt;=ROWS(INDIRECT("pivot_"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"_data"),$A69,COLUMN()-COLUMN($C$5)+2),""),"")</f>
        <v>0</v>
      </c>
      <c r="D69">
        <f>IF($A69&lt;=ROWS(INDIRECT("pivot_"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"_data"),$A69,COLUMN()-COLUMN($C$5)+2),""),"")</f>
        <v>0</v>
      </c>
      <c r="E69">
        <f>IF($A69&lt;=ROWS(INDIRECT("pivot_"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"_data"),$A69,COLUMN()-COLUMN($C$5)+2),""),"")</f>
        <v>0</v>
      </c>
    </row>
    <row r="70" spans="1:5">
      <c r="A70">
        <v>65</v>
      </c>
      <c r="B70">
        <f>IF($A70&lt;=ROWS(INDIRECT("pivot_" &amp; SUBSTITUTE($B$1," ","_") &amp; "_" &amp; IF(LEN($E$1)=0,"both",$E$1) &amp; "_data")),INDEX(INDIRECT("pivot_" &amp; SUBSTITUTE($B$1," ","_") &amp; "_" &amp; IF(LEN($E$1)=0,"both",$E$1) &amp; "_data"),$A70,1),"")</f>
        <v>0</v>
      </c>
      <c r="C70">
        <f>IF($A70&lt;=ROWS(INDIRECT("pivot_"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"_data"),$A70,COLUMN()-COLUMN($C$5)+2),""),"")</f>
        <v>0</v>
      </c>
      <c r="D70">
        <f>IF($A70&lt;=ROWS(INDIRECT("pivot_"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"_data"),$A70,COLUMN()-COLUMN($C$5)+2),""),"")</f>
        <v>0</v>
      </c>
      <c r="E70">
        <f>IF($A70&lt;=ROWS(INDIRECT("pivot_"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"_data"),$A70,COLUMN()-COLUMN($C$5)+2),""),"")</f>
        <v>0</v>
      </c>
    </row>
    <row r="71" spans="1:5">
      <c r="A71">
        <v>66</v>
      </c>
      <c r="B71">
        <f>IF($A71&lt;=ROWS(INDIRECT("pivot_" &amp; SUBSTITUTE($B$1," ","_") &amp; "_" &amp; IF(LEN($E$1)=0,"both",$E$1) &amp; "_data")),INDEX(INDIRECT("pivot_" &amp; SUBSTITUTE($B$1," ","_") &amp; "_" &amp; IF(LEN($E$1)=0,"both",$E$1) &amp; "_data"),$A71,1),"")</f>
        <v>0</v>
      </c>
      <c r="C71">
        <f>IF($A71&lt;=ROWS(INDIRECT("pivot_"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"_data"),$A71,COLUMN()-COLUMN($C$5)+2),""),"")</f>
        <v>0</v>
      </c>
      <c r="D71">
        <f>IF($A71&lt;=ROWS(INDIRECT("pivot_"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"_data"),$A71,COLUMN()-COLUMN($C$5)+2),""),"")</f>
        <v>0</v>
      </c>
      <c r="E71">
        <f>IF($A71&lt;=ROWS(INDIRECT("pivot_"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"_data"),$A71,COLUMN()-COLUMN($C$5)+2),""),"")</f>
        <v>0</v>
      </c>
    </row>
    <row r="72" spans="1:5">
      <c r="A72">
        <v>67</v>
      </c>
      <c r="B72">
        <f>IF($A72&lt;=ROWS(INDIRECT("pivot_" &amp; SUBSTITUTE($B$1," ","_") &amp; "_" &amp; IF(LEN($E$1)=0,"both",$E$1) &amp; "_data")),INDEX(INDIRECT("pivot_" &amp; SUBSTITUTE($B$1," ","_") &amp; "_" &amp; IF(LEN($E$1)=0,"both",$E$1) &amp; "_data"),$A72,1),"")</f>
        <v>0</v>
      </c>
      <c r="C72">
        <f>IF($A72&lt;=ROWS(INDIRECT("pivot_"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"_data"),$A72,COLUMN()-COLUMN($C$5)+2),""),"")</f>
        <v>0</v>
      </c>
      <c r="D72">
        <f>IF($A72&lt;=ROWS(INDIRECT("pivot_"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"_data"),$A72,COLUMN()-COLUMN($C$5)+2),""),"")</f>
        <v>0</v>
      </c>
      <c r="E72">
        <f>IF($A72&lt;=ROWS(INDIRECT("pivot_"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"_data"),$A72,COLUMN()-COLUMN($C$5)+2),""),"")</f>
        <v>0</v>
      </c>
    </row>
    <row r="73" spans="1:5">
      <c r="A73">
        <v>68</v>
      </c>
      <c r="B73">
        <f>IF($A73&lt;=ROWS(INDIRECT("pivot_" &amp; SUBSTITUTE($B$1," ","_") &amp; "_" &amp; IF(LEN($E$1)=0,"both",$E$1) &amp; "_data")),INDEX(INDIRECT("pivot_" &amp; SUBSTITUTE($B$1," ","_") &amp; "_" &amp; IF(LEN($E$1)=0,"both",$E$1) &amp; "_data"),$A73,1),"")</f>
        <v>0</v>
      </c>
      <c r="C73">
        <f>IF($A73&lt;=ROWS(INDIRECT("pivot_"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"_data"),$A73,COLUMN()-COLUMN($C$5)+2),""),"")</f>
        <v>0</v>
      </c>
      <c r="D73">
        <f>IF($A73&lt;=ROWS(INDIRECT("pivot_"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"_data"),$A73,COLUMN()-COLUMN($C$5)+2),""),"")</f>
        <v>0</v>
      </c>
      <c r="E73">
        <f>IF($A73&lt;=ROWS(INDIRECT("pivot_"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"_data"),$A73,COLUMN()-COLUMN($C$5)+2),""),"")</f>
        <v>0</v>
      </c>
    </row>
    <row r="74" spans="1:5">
      <c r="A74">
        <v>69</v>
      </c>
      <c r="B74">
        <f>IF($A74&lt;=ROWS(INDIRECT("pivot_" &amp; SUBSTITUTE($B$1," ","_") &amp; "_" &amp; IF(LEN($E$1)=0,"both",$E$1) &amp; "_data")),INDEX(INDIRECT("pivot_" &amp; SUBSTITUTE($B$1," ","_") &amp; "_" &amp; IF(LEN($E$1)=0,"both",$E$1) &amp; "_data"),$A74,1),"")</f>
        <v>0</v>
      </c>
      <c r="C74">
        <f>IF($A74&lt;=ROWS(INDIRECT("pivot_"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"_data"),$A74,COLUMN()-COLUMN($C$5)+2),""),"")</f>
        <v>0</v>
      </c>
      <c r="D74">
        <f>IF($A74&lt;=ROWS(INDIRECT("pivot_"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"_data"),$A74,COLUMN()-COLUMN($C$5)+2),""),"")</f>
        <v>0</v>
      </c>
      <c r="E74">
        <f>IF($A74&lt;=ROWS(INDIRECT("pivot_"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"_data"),$A74,COLUMN()-COLUMN($C$5)+2),""),"")</f>
        <v>0</v>
      </c>
    </row>
    <row r="75" spans="1:5">
      <c r="A75">
        <v>70</v>
      </c>
      <c r="B75">
        <f>IF($A75&lt;=ROWS(INDIRECT("pivot_" &amp; SUBSTITUTE($B$1," ","_") &amp; "_" &amp; IF(LEN($E$1)=0,"both",$E$1) &amp; "_data")),INDEX(INDIRECT("pivot_" &amp; SUBSTITUTE($B$1," ","_") &amp; "_" &amp; IF(LEN($E$1)=0,"both",$E$1) &amp; "_data"),$A75,1),"")</f>
        <v>0</v>
      </c>
      <c r="C75">
        <f>IF($A75&lt;=ROWS(INDIRECT("pivot_"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"_data"),$A75,COLUMN()-COLUMN($C$5)+2),""),"")</f>
        <v>0</v>
      </c>
      <c r="D75">
        <f>IF($A75&lt;=ROWS(INDIRECT("pivot_"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"_data"),$A75,COLUMN()-COLUMN($C$5)+2),""),"")</f>
        <v>0</v>
      </c>
      <c r="E75">
        <f>IF($A75&lt;=ROWS(INDIRECT("pivot_"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"_data"),$A75,COLUMN()-COLUMN($C$5)+2),""),"")</f>
        <v>0</v>
      </c>
    </row>
    <row r="76" spans="1:5">
      <c r="A76">
        <v>71</v>
      </c>
      <c r="B76">
        <f>IF($A76&lt;=ROWS(INDIRECT("pivot_" &amp; SUBSTITUTE($B$1," ","_") &amp; "_" &amp; IF(LEN($E$1)=0,"both",$E$1) &amp; "_data")),INDEX(INDIRECT("pivot_" &amp; SUBSTITUTE($B$1," ","_") &amp; "_" &amp; IF(LEN($E$1)=0,"both",$E$1) &amp; "_data"),$A76,1),"")</f>
        <v>0</v>
      </c>
      <c r="C76">
        <f>IF($A76&lt;=ROWS(INDIRECT("pivot_"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"_data"),$A76,COLUMN()-COLUMN($C$5)+2),""),"")</f>
        <v>0</v>
      </c>
      <c r="D76">
        <f>IF($A76&lt;=ROWS(INDIRECT("pivot_"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"_data"),$A76,COLUMN()-COLUMN($C$5)+2),""),"")</f>
        <v>0</v>
      </c>
      <c r="E76">
        <f>IF($A76&lt;=ROWS(INDIRECT("pivot_"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"_data"),$A76,COLUMN()-COLUMN($C$5)+2),""),"")</f>
        <v>0</v>
      </c>
    </row>
    <row r="77" spans="1:5">
      <c r="A77">
        <v>72</v>
      </c>
      <c r="B77">
        <f>IF($A77&lt;=ROWS(INDIRECT("pivot_" &amp; SUBSTITUTE($B$1," ","_") &amp; "_" &amp; IF(LEN($E$1)=0,"both",$E$1) &amp; "_data")),INDEX(INDIRECT("pivot_" &amp; SUBSTITUTE($B$1," ","_") &amp; "_" &amp; IF(LEN($E$1)=0,"both",$E$1) &amp; "_data"),$A77,1),"")</f>
        <v>0</v>
      </c>
      <c r="C77">
        <f>IF($A77&lt;=ROWS(INDIRECT("pivot_"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"_data"),$A77,COLUMN()-COLUMN($C$5)+2),""),"")</f>
        <v>0</v>
      </c>
      <c r="D77">
        <f>IF($A77&lt;=ROWS(INDIRECT("pivot_"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"_data"),$A77,COLUMN()-COLUMN($C$5)+2),""),"")</f>
        <v>0</v>
      </c>
      <c r="E77">
        <f>IF($A77&lt;=ROWS(INDIRECT("pivot_"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"_data"),$A77,COLUMN()-COLUMN($C$5)+2),""),"")</f>
        <v>0</v>
      </c>
    </row>
    <row r="78" spans="1:5">
      <c r="A78">
        <v>73</v>
      </c>
      <c r="B78">
        <f>IF($A78&lt;=ROWS(INDIRECT("pivot_" &amp; SUBSTITUTE($B$1," ","_") &amp; "_" &amp; IF(LEN($E$1)=0,"both",$E$1) &amp; "_data")),INDEX(INDIRECT("pivot_" &amp; SUBSTITUTE($B$1," ","_") &amp; "_" &amp; IF(LEN($E$1)=0,"both",$E$1) &amp; "_data"),$A78,1),"")</f>
        <v>0</v>
      </c>
      <c r="C78">
        <f>IF($A78&lt;=ROWS(INDIRECT("pivot_"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"_data"),$A78,COLUMN()-COLUMN($C$5)+2),""),"")</f>
        <v>0</v>
      </c>
      <c r="D78">
        <f>IF($A78&lt;=ROWS(INDIRECT("pivot_"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"_data"),$A78,COLUMN()-COLUMN($C$5)+2),""),"")</f>
        <v>0</v>
      </c>
      <c r="E78">
        <f>IF($A78&lt;=ROWS(INDIRECT("pivot_"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"_data"),$A78,COLUMN()-COLUMN($C$5)+2),""),"")</f>
        <v>0</v>
      </c>
    </row>
    <row r="79" spans="1:5">
      <c r="A79">
        <v>74</v>
      </c>
      <c r="B79">
        <f>IF($A79&lt;=ROWS(INDIRECT("pivot_" &amp; SUBSTITUTE($B$1," ","_") &amp; "_" &amp; IF(LEN($E$1)=0,"both",$E$1) &amp; "_data")),INDEX(INDIRECT("pivot_" &amp; SUBSTITUTE($B$1," ","_") &amp; "_" &amp; IF(LEN($E$1)=0,"both",$E$1) &amp; "_data"),$A79,1),"")</f>
        <v>0</v>
      </c>
      <c r="C79">
        <f>IF($A79&lt;=ROWS(INDIRECT("pivot_"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"_data"),$A79,COLUMN()-COLUMN($C$5)+2),""),"")</f>
        <v>0</v>
      </c>
      <c r="D79">
        <f>IF($A79&lt;=ROWS(INDIRECT("pivot_"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"_data"),$A79,COLUMN()-COLUMN($C$5)+2),""),"")</f>
        <v>0</v>
      </c>
      <c r="E79">
        <f>IF($A79&lt;=ROWS(INDIRECT("pivot_"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"_data"),$A79,COLUMN()-COLUMN($C$5)+2),""),"")</f>
        <v>0</v>
      </c>
    </row>
    <row r="80" spans="1:5">
      <c r="A80">
        <v>75</v>
      </c>
      <c r="B80">
        <f>IF($A80&lt;=ROWS(INDIRECT("pivot_" &amp; SUBSTITUTE($B$1," ","_") &amp; "_" &amp; IF(LEN($E$1)=0,"both",$E$1) &amp; "_data")),INDEX(INDIRECT("pivot_" &amp; SUBSTITUTE($B$1," ","_") &amp; "_" &amp; IF(LEN($E$1)=0,"both",$E$1) &amp; "_data"),$A80,1),"")</f>
        <v>0</v>
      </c>
      <c r="C80">
        <f>IF($A80&lt;=ROWS(INDIRECT("pivot_"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"_data"),$A80,COLUMN()-COLUMN($C$5)+2),""),"")</f>
        <v>0</v>
      </c>
      <c r="D80">
        <f>IF($A80&lt;=ROWS(INDIRECT("pivot_"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"_data"),$A80,COLUMN()-COLUMN($C$5)+2),""),"")</f>
        <v>0</v>
      </c>
      <c r="E80">
        <f>IF($A80&lt;=ROWS(INDIRECT("pivot_"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"_data"),$A80,COLUMN()-COLUMN($C$5)+2),""),"")</f>
        <v>0</v>
      </c>
    </row>
    <row r="81" spans="1:5">
      <c r="A81">
        <v>76</v>
      </c>
      <c r="B81">
        <f>IF($A81&lt;=ROWS(INDIRECT("pivot_" &amp; SUBSTITUTE($B$1," ","_") &amp; "_" &amp; IF(LEN($E$1)=0,"both",$E$1) &amp; "_data")),INDEX(INDIRECT("pivot_" &amp; SUBSTITUTE($B$1," ","_") &amp; "_" &amp; IF(LEN($E$1)=0,"both",$E$1) &amp; "_data"),$A81,1),"")</f>
        <v>0</v>
      </c>
      <c r="C81">
        <f>IF($A81&lt;=ROWS(INDIRECT("pivot_"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"_data"),$A81,COLUMN()-COLUMN($C$5)+2),""),"")</f>
        <v>0</v>
      </c>
      <c r="D81">
        <f>IF($A81&lt;=ROWS(INDIRECT("pivot_"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"_data"),$A81,COLUMN()-COLUMN($C$5)+2),""),"")</f>
        <v>0</v>
      </c>
      <c r="E81">
        <f>IF($A81&lt;=ROWS(INDIRECT("pivot_"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"_data"),$A81,COLUMN()-COLUMN($C$5)+2),""),"")</f>
        <v>0</v>
      </c>
    </row>
    <row r="82" spans="1:5">
      <c r="A82">
        <v>77</v>
      </c>
      <c r="B82">
        <f>IF($A82&lt;=ROWS(INDIRECT("pivot_" &amp; SUBSTITUTE($B$1," ","_") &amp; "_" &amp; IF(LEN($E$1)=0,"both",$E$1) &amp; "_data")),INDEX(INDIRECT("pivot_" &amp; SUBSTITUTE($B$1," ","_") &amp; "_" &amp; IF(LEN($E$1)=0,"both",$E$1) &amp; "_data"),$A82,1),"")</f>
        <v>0</v>
      </c>
      <c r="C82">
        <f>IF($A82&lt;=ROWS(INDIRECT("pivot_"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"_data"),$A82,COLUMN()-COLUMN($C$5)+2),""),"")</f>
        <v>0</v>
      </c>
      <c r="D82">
        <f>IF($A82&lt;=ROWS(INDIRECT("pivot_"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"_data"),$A82,COLUMN()-COLUMN($C$5)+2),""),"")</f>
        <v>0</v>
      </c>
      <c r="E82">
        <f>IF($A82&lt;=ROWS(INDIRECT("pivot_"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"_data"),$A82,COLUMN()-COLUMN($C$5)+2),""),"")</f>
        <v>0</v>
      </c>
    </row>
    <row r="83" spans="1:5">
      <c r="A83">
        <v>78</v>
      </c>
      <c r="B83">
        <f>IF($A83&lt;=ROWS(INDIRECT("pivot_" &amp; SUBSTITUTE($B$1," ","_") &amp; "_" &amp; IF(LEN($E$1)=0,"both",$E$1) &amp; "_data")),INDEX(INDIRECT("pivot_" &amp; SUBSTITUTE($B$1," ","_") &amp; "_" &amp; IF(LEN($E$1)=0,"both",$E$1) &amp; "_data"),$A83,1),"")</f>
        <v>0</v>
      </c>
      <c r="C83">
        <f>IF($A83&lt;=ROWS(INDIRECT("pivot_"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"_data"),$A83,COLUMN()-COLUMN($C$5)+2),""),"")</f>
        <v>0</v>
      </c>
      <c r="D83">
        <f>IF($A83&lt;=ROWS(INDIRECT("pivot_"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"_data"),$A83,COLUMN()-COLUMN($C$5)+2),""),"")</f>
        <v>0</v>
      </c>
      <c r="E83">
        <f>IF($A83&lt;=ROWS(INDIRECT("pivot_"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"_data"),$A83,COLUMN()-COLUMN($C$5)+2),""),"")</f>
        <v>0</v>
      </c>
    </row>
    <row r="84" spans="1:5">
      <c r="A84">
        <v>79</v>
      </c>
      <c r="B84">
        <f>IF($A84&lt;=ROWS(INDIRECT("pivot_" &amp; SUBSTITUTE($B$1," ","_") &amp; "_" &amp; IF(LEN($E$1)=0,"both",$E$1) &amp; "_data")),INDEX(INDIRECT("pivot_" &amp; SUBSTITUTE($B$1," ","_") &amp; "_" &amp; IF(LEN($E$1)=0,"both",$E$1) &amp; "_data"),$A84,1),"")</f>
        <v>0</v>
      </c>
      <c r="C84">
        <f>IF($A84&lt;=ROWS(INDIRECT("pivot_"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"_data"),$A84,COLUMN()-COLUMN($C$5)+2),""),"")</f>
        <v>0</v>
      </c>
      <c r="D84">
        <f>IF($A84&lt;=ROWS(INDIRECT("pivot_"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"_data"),$A84,COLUMN()-COLUMN($C$5)+2),""),"")</f>
        <v>0</v>
      </c>
      <c r="E84">
        <f>IF($A84&lt;=ROWS(INDIRECT("pivot_"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"_data"),$A84,COLUMN()-COLUMN($C$5)+2),""),"")</f>
        <v>0</v>
      </c>
    </row>
    <row r="85" spans="1:5">
      <c r="A85">
        <v>80</v>
      </c>
      <c r="B85">
        <f>IF($A85&lt;=ROWS(INDIRECT("pivot_" &amp; SUBSTITUTE($B$1," ","_") &amp; "_" &amp; IF(LEN($E$1)=0,"both",$E$1) &amp; "_data")),INDEX(INDIRECT("pivot_" &amp; SUBSTITUTE($B$1," ","_") &amp; "_" &amp; IF(LEN($E$1)=0,"both",$E$1) &amp; "_data"),$A85,1),"")</f>
        <v>0</v>
      </c>
      <c r="C85">
        <f>IF($A85&lt;=ROWS(INDIRECT("pivot_"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"_data"),$A85,COLUMN()-COLUMN($C$5)+2),""),"")</f>
        <v>0</v>
      </c>
      <c r="D85">
        <f>IF($A85&lt;=ROWS(INDIRECT("pivot_"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"_data"),$A85,COLUMN()-COLUMN($C$5)+2),""),"")</f>
        <v>0</v>
      </c>
      <c r="E85">
        <f>IF($A85&lt;=ROWS(INDIRECT("pivot_"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"_data"),$A85,COLUMN()-COLUMN($C$5)+2),""),"")</f>
        <v>0</v>
      </c>
    </row>
    <row r="86" spans="1:5">
      <c r="A86">
        <v>81</v>
      </c>
      <c r="B86">
        <f>IF($A86&lt;=ROWS(INDIRECT("pivot_" &amp; SUBSTITUTE($B$1," ","_") &amp; "_" &amp; IF(LEN($E$1)=0,"both",$E$1) &amp; "_data")),INDEX(INDIRECT("pivot_" &amp; SUBSTITUTE($B$1," ","_") &amp; "_" &amp; IF(LEN($E$1)=0,"both",$E$1) &amp; "_data"),$A86,1),"")</f>
        <v>0</v>
      </c>
      <c r="C86">
        <f>IF($A86&lt;=ROWS(INDIRECT("pivot_"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"_data"),$A86,COLUMN()-COLUMN($C$5)+2),""),"")</f>
        <v>0</v>
      </c>
      <c r="D86">
        <f>IF($A86&lt;=ROWS(INDIRECT("pivot_"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"_data"),$A86,COLUMN()-COLUMN($C$5)+2),""),"")</f>
        <v>0</v>
      </c>
      <c r="E86">
        <f>IF($A86&lt;=ROWS(INDIRECT("pivot_"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"_data"),$A86,COLUMN()-COLUMN($C$5)+2),""),"")</f>
        <v>0</v>
      </c>
    </row>
    <row r="87" spans="1:5">
      <c r="A87">
        <v>82</v>
      </c>
      <c r="B87">
        <f>IF($A87&lt;=ROWS(INDIRECT("pivot_" &amp; SUBSTITUTE($B$1," ","_") &amp; "_" &amp; IF(LEN($E$1)=0,"both",$E$1) &amp; "_data")),INDEX(INDIRECT("pivot_" &amp; SUBSTITUTE($B$1," ","_") &amp; "_" &amp; IF(LEN($E$1)=0,"both",$E$1) &amp; "_data"),$A87,1),"")</f>
        <v>0</v>
      </c>
      <c r="C87">
        <f>IF($A87&lt;=ROWS(INDIRECT("pivot_"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"_data"),$A87,COLUMN()-COLUMN($C$5)+2),""),"")</f>
        <v>0</v>
      </c>
      <c r="D87">
        <f>IF($A87&lt;=ROWS(INDIRECT("pivot_"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"_data"),$A87,COLUMN()-COLUMN($C$5)+2),""),"")</f>
        <v>0</v>
      </c>
      <c r="E87">
        <f>IF($A87&lt;=ROWS(INDIRECT("pivot_"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"_data"),$A87,COLUMN()-COLUMN($C$5)+2),""),"")</f>
        <v>0</v>
      </c>
    </row>
    <row r="88" spans="1:5">
      <c r="A88">
        <v>83</v>
      </c>
      <c r="B88">
        <f>IF($A88&lt;=ROWS(INDIRECT("pivot_" &amp; SUBSTITUTE($B$1," ","_") &amp; "_" &amp; IF(LEN($E$1)=0,"both",$E$1) &amp; "_data")),INDEX(INDIRECT("pivot_" &amp; SUBSTITUTE($B$1," ","_") &amp; "_" &amp; IF(LEN($E$1)=0,"both",$E$1) &amp; "_data"),$A88,1),"")</f>
        <v>0</v>
      </c>
      <c r="C88">
        <f>IF($A88&lt;=ROWS(INDIRECT("pivot_"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"_data"),$A88,COLUMN()-COLUMN($C$5)+2),""),"")</f>
        <v>0</v>
      </c>
      <c r="D88">
        <f>IF($A88&lt;=ROWS(INDIRECT("pivot_"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"_data"),$A88,COLUMN()-COLUMN($C$5)+2),""),"")</f>
        <v>0</v>
      </c>
      <c r="E88">
        <f>IF($A88&lt;=ROWS(INDIRECT("pivot_"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"_data"),$A88,COLUMN()-COLUMN($C$5)+2),""),"")</f>
        <v>0</v>
      </c>
    </row>
    <row r="89" spans="1:5">
      <c r="A89">
        <v>84</v>
      </c>
      <c r="B89">
        <f>IF($A89&lt;=ROWS(INDIRECT("pivot_" &amp; SUBSTITUTE($B$1," ","_") &amp; "_" &amp; IF(LEN($E$1)=0,"both",$E$1) &amp; "_data")),INDEX(INDIRECT("pivot_" &amp; SUBSTITUTE($B$1," ","_") &amp; "_" &amp; IF(LEN($E$1)=0,"both",$E$1) &amp; "_data"),$A89,1),"")</f>
        <v>0</v>
      </c>
      <c r="C89">
        <f>IF($A89&lt;=ROWS(INDIRECT("pivot_"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"_data"),$A89,COLUMN()-COLUMN($C$5)+2),""),"")</f>
        <v>0</v>
      </c>
      <c r="D89">
        <f>IF($A89&lt;=ROWS(INDIRECT("pivot_"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"_data"),$A89,COLUMN()-COLUMN($C$5)+2),""),"")</f>
        <v>0</v>
      </c>
      <c r="E89">
        <f>IF($A89&lt;=ROWS(INDIRECT("pivot_"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"_data"),$A89,COLUMN()-COLUMN($C$5)+2),""),"")</f>
        <v>0</v>
      </c>
    </row>
    <row r="90" spans="1:5">
      <c r="A90">
        <v>85</v>
      </c>
      <c r="B90">
        <f>IF($A90&lt;=ROWS(INDIRECT("pivot_" &amp; SUBSTITUTE($B$1," ","_") &amp; "_" &amp; IF(LEN($E$1)=0,"both",$E$1) &amp; "_data")),INDEX(INDIRECT("pivot_" &amp; SUBSTITUTE($B$1," ","_") &amp; "_" &amp; IF(LEN($E$1)=0,"both",$E$1) &amp; "_data"),$A90,1),"")</f>
        <v>0</v>
      </c>
      <c r="C90">
        <f>IF($A90&lt;=ROWS(INDIRECT("pivot_"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"_data"),$A90,COLUMN()-COLUMN($C$5)+2),""),"")</f>
        <v>0</v>
      </c>
      <c r="D90">
        <f>IF($A90&lt;=ROWS(INDIRECT("pivot_"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"_data"),$A90,COLUMN()-COLUMN($C$5)+2),""),"")</f>
        <v>0</v>
      </c>
      <c r="E90">
        <f>IF($A90&lt;=ROWS(INDIRECT("pivot_"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"_data"),$A90,COLUMN()-COLUMN($C$5)+2),""),"")</f>
        <v>0</v>
      </c>
    </row>
    <row r="91" spans="1:5">
      <c r="A91">
        <v>86</v>
      </c>
      <c r="B91">
        <f>IF($A91&lt;=ROWS(INDIRECT("pivot_" &amp; SUBSTITUTE($B$1," ","_") &amp; "_" &amp; IF(LEN($E$1)=0,"both",$E$1) &amp; "_data")),INDEX(INDIRECT("pivot_" &amp; SUBSTITUTE($B$1," ","_") &amp; "_" &amp; IF(LEN($E$1)=0,"both",$E$1) &amp; "_data"),$A91,1),"")</f>
        <v>0</v>
      </c>
      <c r="C91">
        <f>IF($A91&lt;=ROWS(INDIRECT("pivot_"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"_data"),$A91,COLUMN()-COLUMN($C$5)+2),""),"")</f>
        <v>0</v>
      </c>
      <c r="D91">
        <f>IF($A91&lt;=ROWS(INDIRECT("pivot_"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"_data"),$A91,COLUMN()-COLUMN($C$5)+2),""),"")</f>
        <v>0</v>
      </c>
      <c r="E91">
        <f>IF($A91&lt;=ROWS(INDIRECT("pivot_"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"_data"),$A91,COLUMN()-COLUMN($C$5)+2),""),"")</f>
        <v>0</v>
      </c>
    </row>
    <row r="92" spans="1:5">
      <c r="A92">
        <v>87</v>
      </c>
      <c r="B92">
        <f>IF($A92&lt;=ROWS(INDIRECT("pivot_" &amp; SUBSTITUTE($B$1," ","_") &amp; "_" &amp; IF(LEN($E$1)=0,"both",$E$1) &amp; "_data")),INDEX(INDIRECT("pivot_" &amp; SUBSTITUTE($B$1," ","_") &amp; "_" &amp; IF(LEN($E$1)=0,"both",$E$1) &amp; "_data"),$A92,1),"")</f>
        <v>0</v>
      </c>
      <c r="C92">
        <f>IF($A92&lt;=ROWS(INDIRECT("pivot_"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"_data"),$A92,COLUMN()-COLUMN($C$5)+2),""),"")</f>
        <v>0</v>
      </c>
      <c r="D92">
        <f>IF($A92&lt;=ROWS(INDIRECT("pivot_"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"_data"),$A92,COLUMN()-COLUMN($C$5)+2),""),"")</f>
        <v>0</v>
      </c>
      <c r="E92">
        <f>IF($A92&lt;=ROWS(INDIRECT("pivot_"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"_data"),$A92,COLUMN()-COLUMN($C$5)+2),""),"")</f>
        <v>0</v>
      </c>
    </row>
    <row r="93" spans="1:5">
      <c r="A93">
        <v>88</v>
      </c>
      <c r="B93">
        <f>IF($A93&lt;=ROWS(INDIRECT("pivot_" &amp; SUBSTITUTE($B$1," ","_") &amp; "_" &amp; IF(LEN($E$1)=0,"both",$E$1) &amp; "_data")),INDEX(INDIRECT("pivot_" &amp; SUBSTITUTE($B$1," ","_") &amp; "_" &amp; IF(LEN($E$1)=0,"both",$E$1) &amp; "_data"),$A93,1),"")</f>
        <v>0</v>
      </c>
      <c r="C93">
        <f>IF($A93&lt;=ROWS(INDIRECT("pivot_"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"_data"),$A93,COLUMN()-COLUMN($C$5)+2),""),"")</f>
        <v>0</v>
      </c>
      <c r="D93">
        <f>IF($A93&lt;=ROWS(INDIRECT("pivot_"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"_data"),$A93,COLUMN()-COLUMN($C$5)+2),""),"")</f>
        <v>0</v>
      </c>
      <c r="E93">
        <f>IF($A93&lt;=ROWS(INDIRECT("pivot_"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"_data"),$A93,COLUMN()-COLUMN($C$5)+2),""),"")</f>
        <v>0</v>
      </c>
    </row>
    <row r="94" spans="1:5">
      <c r="A94">
        <v>89</v>
      </c>
      <c r="B94">
        <f>IF($A94&lt;=ROWS(INDIRECT("pivot_" &amp; SUBSTITUTE($B$1," ","_") &amp; "_" &amp; IF(LEN($E$1)=0,"both",$E$1) &amp; "_data")),INDEX(INDIRECT("pivot_" &amp; SUBSTITUTE($B$1," ","_") &amp; "_" &amp; IF(LEN($E$1)=0,"both",$E$1) &amp; "_data"),$A94,1),"")</f>
        <v>0</v>
      </c>
      <c r="C94">
        <f>IF($A94&lt;=ROWS(INDIRECT("pivot_"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"_data"),$A94,COLUMN()-COLUMN($C$5)+2),""),"")</f>
        <v>0</v>
      </c>
      <c r="D94">
        <f>IF($A94&lt;=ROWS(INDIRECT("pivot_"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"_data"),$A94,COLUMN()-COLUMN($C$5)+2),""),"")</f>
        <v>0</v>
      </c>
      <c r="E94">
        <f>IF($A94&lt;=ROWS(INDIRECT("pivot_" &amp; SUBSTITUTE($B$1," ","_") &amp; "_" &amp; IF(LEN($E$1)=0,"both",$E$1) &amp; "_data")),IF(COLUMN()-COLUMN($C$5)+2&lt;=COLUMNS(INDIRECT("pivot_" &amp; SUBSTITUTE($B$1," ","_") &amp; "_" &amp; IF(LEN($E$1)=0,"both",$E$1) &amp; "_data")),INDEX(INDIRECT("pivot_" &amp; SUBSTITUTE($B$1," ","_") &amp; "_" &amp; IF(LEN($E$1)=0,"both",$E$1) &amp; "_data"),$A94,COLUMN()-COLUMN($C$5)+2),""),"")</f>
        <v>0</v>
      </c>
    </row>
  </sheetData>
  <autoFilter ref="A5:E94"/>
  <conditionalFormatting sqref="A6:A95">
    <cfRule type="expression" dxfId="0" priority="4">
      <formula>$B$6=""</formula>
    </cfRule>
  </conditionalFormatting>
  <conditionalFormatting sqref="C6:C95">
    <cfRule type="colorScale" priority="1">
      <colorScale>
        <cfvo type="min" val="0"/>
        <cfvo type="percentile" val="50"/>
        <cfvo type="max" val="0"/>
        <color rgb="FFFF0000"/>
        <color rgb="FFFFD966"/>
        <color rgb="FF00B050"/>
      </colorScale>
    </cfRule>
  </conditionalFormatting>
  <conditionalFormatting sqref="D6:D95">
    <cfRule type="colorScale" priority="2">
      <colorScale>
        <cfvo type="min" val="0"/>
        <cfvo type="percentile" val="50"/>
        <cfvo type="max" val="0"/>
        <color rgb="FFFF0000"/>
        <color rgb="FFFFD966"/>
        <color rgb="FF00B050"/>
      </colorScale>
    </cfRule>
  </conditionalFormatting>
  <conditionalFormatting sqref="E6:E95">
    <cfRule type="colorScale" priority="3">
      <colorScale>
        <cfvo type="min" val="0"/>
        <cfvo type="percentile" val="50"/>
        <cfvo type="max" val="0"/>
        <color rgb="FFFF0000"/>
        <color rgb="FFFFD966"/>
        <color rgb="FF00B050"/>
      </colorScale>
    </cfRule>
  </conditionalFormatting>
  <dataValidations count="2">
    <dataValidation type="list" allowBlank="1" showInputMessage="1" showErrorMessage="1" sqref="B1">
      <formula1>"talent_str,race,trinket,stat_profile,trinket_pair,individual talents"</formula1>
    </dataValidation>
    <dataValidation type="list" allowBlank="1" showInputMessage="1" showErrorMessage="1" sqref="E1">
      <formula1>"both,dps,priority_dps"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4" t="s">
        <v>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FormatPr defaultRowHeight="15"/>
  <cols>
    <col min="1" max="1" width="50.7109375" customWidth="1"/>
    <col min="2" max="2" width="14.7109375" style="3" customWidth="1"/>
    <col min="3" max="4" width="8.7109375" customWidth="1"/>
    <col min="5" max="5" width="10.7109375" customWidth="1"/>
    <col min="7" max="20" width="2.7109375" customWidth="1"/>
  </cols>
  <sheetData>
    <row r="1" spans="1:20">
      <c r="A1" s="4" t="s">
        <v>223</v>
      </c>
      <c r="B1" s="3" t="s">
        <v>224</v>
      </c>
      <c r="C1" s="4" t="s">
        <v>243</v>
      </c>
      <c r="D1">
        <f>MAX($C$6:$C$25)</f>
        <v>0</v>
      </c>
    </row>
    <row r="2" spans="1:20">
      <c r="C2" s="4" t="s">
        <v>244</v>
      </c>
      <c r="D2">
        <f>MIN($C$6:$C$25)</f>
        <v>0</v>
      </c>
    </row>
    <row r="3" spans="1:20">
      <c r="A3">
        <f>"Scale: "&amp;TEXT($D$3,"0%")&amp;" – "&amp;TEXT($D$4,"0%")</f>
        <v>0</v>
      </c>
      <c r="C3" s="4" t="s">
        <v>245</v>
      </c>
      <c r="D3">
        <f>IF($D$2&gt;0.95,0.95,IF($D$2&gt;0.9,0.9,IF($D$2&gt;0.8,0.8,IF($D$2&gt;0.6,0.6,IF($D$2&gt;0.4,0.4,0.2)))))</f>
        <v>0</v>
      </c>
    </row>
    <row r="4" spans="1:20">
      <c r="C4" s="4" t="s">
        <v>246</v>
      </c>
      <c r="D4">
        <f>IF($D$1&lt;=0.4,0.4,IF($D$1&lt;=0.6,0.6,IF($D$1&lt;=0.8,0.8,IF($D$1&lt;=0.9,0.9,IF($D$1&lt;=0.95,0.95,1)))))</f>
        <v>0</v>
      </c>
    </row>
    <row r="5" spans="1:20">
      <c r="A5" s="5" t="s">
        <v>225</v>
      </c>
      <c r="B5" s="5" t="s">
        <v>212</v>
      </c>
      <c r="C5" s="5" t="s">
        <v>242</v>
      </c>
      <c r="E5" s="5" t="s">
        <v>247</v>
      </c>
      <c r="G5" s="5" t="s">
        <v>226</v>
      </c>
      <c r="H5" s="5" t="s">
        <v>227</v>
      </c>
      <c r="I5" s="5" t="s">
        <v>230</v>
      </c>
      <c r="J5" s="5" t="s">
        <v>231</v>
      </c>
      <c r="K5" s="5" t="s">
        <v>232</v>
      </c>
      <c r="L5" s="5" t="s">
        <v>233</v>
      </c>
      <c r="M5" s="5" t="s">
        <v>234</v>
      </c>
      <c r="N5" s="5" t="s">
        <v>235</v>
      </c>
      <c r="O5" s="5" t="s">
        <v>236</v>
      </c>
      <c r="P5" s="5" t="s">
        <v>237</v>
      </c>
      <c r="Q5" s="5" t="s">
        <v>238</v>
      </c>
      <c r="R5" s="5" t="s">
        <v>239</v>
      </c>
      <c r="S5" s="5" t="s">
        <v>240</v>
      </c>
      <c r="T5" s="5" t="s">
        <v>241</v>
      </c>
    </row>
    <row r="6" spans="1:20">
      <c r="A6">
        <f>IFERROR(IF($B6="","",INDEX(('Ranked Chart'!$G$6:$G$25,'Ranked Chart'!$I$6:$I$25,'Ranked Chart'!$K$6:$K$25,'Ranked Chart'!$M$6:$M$25,'Ranked Chart'!$O$6:$O$25,'Ranked Chart'!$Q$6:$Q$25,'Ranked Chart'!$S$6:$S$25),ROWS($A$6:A6),1,MATCH($B$1,{"Summary","talent_str","race","trinket","stat_profile","trinket_pair","individual talents"},0))),"")</f>
        <v>0</v>
      </c>
      <c r="B6" s="3">
        <f>IFERROR(IF(INDEX(('Ranked Chart'!$H$6:$H$25,'Ranked Chart'!$J$6:$J$25,'Ranked Chart'!$L$6:$L$25,'Ranked Chart'!$N$6:$N$25,'Ranked Chart'!$P$6:$P$25,'Ranked Chart'!$R$6:$R$25,'Ranked Chart'!$T$6:$T$25),ROWS($A$6:A6),1,MATCH($B$1,{"Summary","talent_str","race","trinket","stat_profile","trinket_pair","individual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Chart'!$T$6:$T$25),ROWS($A$6:A6),1,MATCH($B$1,{"Summary","talent_str","race","trinket","stat_profile","trinket_pair","individual talents"},0)),""),"")</f>
        <v>0</v>
      </c>
      <c r="C6">
        <f>IF($B6="","",$B6)</f>
        <v>0</v>
      </c>
      <c r="E6">
        <f>IF($A6="","",IF($D$4&gt;$D$3,MAX(0,MIN($C6,$D$4)-$D$3)/($D$4-$D$3),""))</f>
        <v>0</v>
      </c>
      <c r="G6" t="s">
        <v>228</v>
      </c>
      <c r="H6" s="3">
        <v>1</v>
      </c>
      <c r="I6" t="s">
        <v>114</v>
      </c>
      <c r="J6" s="3">
        <v>1</v>
      </c>
      <c r="K6" t="s">
        <v>111</v>
      </c>
      <c r="L6" s="3">
        <v>1</v>
      </c>
      <c r="M6" t="s">
        <v>203</v>
      </c>
      <c r="N6" s="3">
        <v>1</v>
      </c>
      <c r="O6" t="s">
        <v>215</v>
      </c>
      <c r="P6" s="3">
        <v>1</v>
      </c>
      <c r="Q6" t="s">
        <v>216</v>
      </c>
      <c r="R6" s="3">
        <v>1</v>
      </c>
    </row>
    <row r="7" spans="1:20">
      <c r="A7">
        <f>IFERROR(IF($B7="","",INDEX(('Ranked Chart'!$G$6:$G$25,'Ranked Chart'!$I$6:$I$25,'Ranked Chart'!$K$6:$K$25,'Ranked Chart'!$M$6:$M$25,'Ranked Chart'!$O$6:$O$25,'Ranked Chart'!$Q$6:$Q$25,'Ranked Chart'!$S$6:$S$25),ROWS($A$6:A7),1,MATCH($B$1,{"Summary","talent_str","race","trinket","stat_profile","trinket_pair","individual talents"},0))),"")</f>
        <v>0</v>
      </c>
      <c r="B7" s="3">
        <f>IFERROR(IF(INDEX(('Ranked Chart'!$H$6:$H$25,'Ranked Chart'!$J$6:$J$25,'Ranked Chart'!$L$6:$L$25,'Ranked Chart'!$N$6:$N$25,'Ranked Chart'!$P$6:$P$25,'Ranked Chart'!$R$6:$R$25,'Ranked Chart'!$T$6:$T$25),ROWS($A$6:A7),1,MATCH($B$1,{"Summary","talent_str","race","trinket","stat_profile","trinket_pair","individual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Chart'!$T$6:$T$25),ROWS($A$6:A7),1,MATCH($B$1,{"Summary","talent_str","race","trinket","stat_profile","trinket_pair","individual talents"},0)),""),"")</f>
        <v>0</v>
      </c>
      <c r="C7">
        <f>IF($B7="","",$B7)</f>
        <v>0</v>
      </c>
      <c r="E7">
        <f>IF($A7="","",IF($D$4&gt;$D$3,MAX(0,MIN($C7,$D$4)-$D$3)/($D$4-$D$3),""))</f>
        <v>0</v>
      </c>
      <c r="G7" t="s">
        <v>229</v>
      </c>
      <c r="H7" s="3">
        <v>0.9803360204368448</v>
      </c>
      <c r="I7" t="s">
        <v>158</v>
      </c>
      <c r="J7" s="3">
        <v>0.9803360204368448</v>
      </c>
      <c r="M7" t="s">
        <v>204</v>
      </c>
      <c r="N7" s="3">
        <v>1</v>
      </c>
    </row>
    <row r="8" spans="1:20">
      <c r="A8">
        <f>IFERROR(IF($B8="","",INDEX(('Ranked Chart'!$G$6:$G$25,'Ranked Chart'!$I$6:$I$25,'Ranked Chart'!$K$6:$K$25,'Ranked Chart'!$M$6:$M$25,'Ranked Chart'!$O$6:$O$25,'Ranked Chart'!$Q$6:$Q$25,'Ranked Chart'!$S$6:$S$25),ROWS($A$6:A8),1,MATCH($B$1,{"Summary","talent_str","race","trinket","stat_profile","trinket_pair","individual talents"},0))),"")</f>
        <v>0</v>
      </c>
      <c r="B8" s="3">
        <f>IFERROR(IF(INDEX(('Ranked Chart'!$H$6:$H$25,'Ranked Chart'!$J$6:$J$25,'Ranked Chart'!$L$6:$L$25,'Ranked Chart'!$N$6:$N$25,'Ranked Chart'!$P$6:$P$25,'Ranked Chart'!$R$6:$R$25,'Ranked Chart'!$T$6:$T$25),ROWS($A$6:A8),1,MATCH($B$1,{"Summary","talent_str","race","trinket","stat_profile","trinket_pair","individual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Chart'!$T$6:$T$25),ROWS($A$6:A8),1,MATCH($B$1,{"Summary","talent_str","race","trinket","stat_profile","trinket_pair","individual talents"},0)),""),"")</f>
        <v>0</v>
      </c>
      <c r="C8">
        <f>IF($B8="","",$B8)</f>
        <v>0</v>
      </c>
      <c r="E8">
        <f>IF($A8="","",IF($D$4&gt;$D$3,MAX(0,MIN($C8,$D$4)-$D$3)/($D$4-$D$3),""))</f>
        <v>0</v>
      </c>
      <c r="G8" t="s">
        <v>229</v>
      </c>
      <c r="H8" s="3">
        <v>0.9793110433189642</v>
      </c>
      <c r="I8" t="s">
        <v>159</v>
      </c>
      <c r="J8" s="3">
        <v>0.9793110433189642</v>
      </c>
    </row>
    <row r="9" spans="1:20">
      <c r="A9">
        <f>IFERROR(IF($B9="","",INDEX(('Ranked Chart'!$G$6:$G$25,'Ranked Chart'!$I$6:$I$25,'Ranked Chart'!$K$6:$K$25,'Ranked Chart'!$M$6:$M$25,'Ranked Chart'!$O$6:$O$25,'Ranked Chart'!$Q$6:$Q$25,'Ranked Chart'!$S$6:$S$25),ROWS($A$6:A9),1,MATCH($B$1,{"Summary","talent_str","race","trinket","stat_profile","trinket_pair","individual talents"},0))),"")</f>
        <v>0</v>
      </c>
      <c r="B9" s="3">
        <f>IFERROR(IF(INDEX(('Ranked Chart'!$H$6:$H$25,'Ranked Chart'!$J$6:$J$25,'Ranked Chart'!$L$6:$L$25,'Ranked Chart'!$N$6:$N$25,'Ranked Chart'!$P$6:$P$25,'Ranked Chart'!$R$6:$R$25,'Ranked Chart'!$T$6:$T$25),ROWS($A$6:A9),1,MATCH($B$1,{"Summary","talent_str","race","trinket","stat_profile","trinket_pair","individual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Chart'!$T$6:$T$25),ROWS($A$6:A9),1,MATCH($B$1,{"Summary","talent_str","race","trinket","stat_profile","trinket_pair","individual talents"},0)),""),"")</f>
        <v>0</v>
      </c>
      <c r="C9">
        <f>IF($B9="","",$B9)</f>
        <v>0</v>
      </c>
      <c r="E9">
        <f>IF($A9="","",IF($D$4&gt;$D$3,MAX(0,MIN($C9,$D$4)-$D$3)/($D$4-$D$3),""))</f>
        <v>0</v>
      </c>
      <c r="G9" t="s">
        <v>229</v>
      </c>
      <c r="H9" s="3">
        <v>0.978815539129265</v>
      </c>
      <c r="I9" t="s">
        <v>129</v>
      </c>
      <c r="J9" s="3">
        <v>0.978815539129265</v>
      </c>
    </row>
    <row r="10" spans="1:20">
      <c r="A10">
        <f>IFERROR(IF($B10="","",INDEX(('Ranked Chart'!$G$6:$G$25,'Ranked Chart'!$I$6:$I$25,'Ranked Chart'!$K$6:$K$25,'Ranked Chart'!$M$6:$M$25,'Ranked Chart'!$O$6:$O$25,'Ranked Chart'!$Q$6:$Q$25,'Ranked Chart'!$S$6:$S$25),ROWS($A$6:A10),1,MATCH($B$1,{"Summary","talent_str","race","trinket","stat_profile","trinket_pair","individual talents"},0))),"")</f>
        <v>0</v>
      </c>
      <c r="B10" s="3">
        <f>IFERROR(IF(INDEX(('Ranked Chart'!$H$6:$H$25,'Ranked Chart'!$J$6:$J$25,'Ranked Chart'!$L$6:$L$25,'Ranked Chart'!$N$6:$N$25,'Ranked Chart'!$P$6:$P$25,'Ranked Chart'!$R$6:$R$25,'Ranked Chart'!$T$6:$T$25),ROWS($A$6:A10),1,MATCH($B$1,{"Summary","talent_str","race","trinket","stat_profile","trinket_pair","individual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Chart'!$T$6:$T$25),ROWS($A$6:A10),1,MATCH($B$1,{"Summary","talent_str","race","trinket","stat_profile","trinket_pair","individual talents"},0)),""),"")</f>
        <v>0</v>
      </c>
      <c r="C10">
        <f>IF($B10="","",$B10)</f>
        <v>0</v>
      </c>
      <c r="E10">
        <f>IF($A10="","",IF($D$4&gt;$D$3,MAX(0,MIN($C10,$D$4)-$D$3)/($D$4-$D$3),""))</f>
        <v>0</v>
      </c>
      <c r="G10" t="s">
        <v>229</v>
      </c>
      <c r="H10" s="3">
        <v>0.9783064968372757</v>
      </c>
      <c r="I10" t="s">
        <v>131</v>
      </c>
      <c r="J10" s="3">
        <v>0.9783064968372757</v>
      </c>
    </row>
    <row r="11" spans="1:20">
      <c r="A11">
        <f>IFERROR(IF($B11="","",INDEX(('Ranked Chart'!$G$6:$G$25,'Ranked Chart'!$I$6:$I$25,'Ranked Chart'!$K$6:$K$25,'Ranked Chart'!$M$6:$M$25,'Ranked Chart'!$O$6:$O$25,'Ranked Chart'!$Q$6:$Q$25,'Ranked Chart'!$S$6:$S$25),ROWS($A$6:A11),1,MATCH($B$1,{"Summary","talent_str","race","trinket","stat_profile","trinket_pair","individual talents"},0))),"")</f>
        <v>0</v>
      </c>
      <c r="B11" s="3">
        <f>IFERROR(IF(INDEX(('Ranked Chart'!$H$6:$H$25,'Ranked Chart'!$J$6:$J$25,'Ranked Chart'!$L$6:$L$25,'Ranked Chart'!$N$6:$N$25,'Ranked Chart'!$P$6:$P$25,'Ranked Chart'!$R$6:$R$25,'Ranked Chart'!$T$6:$T$25),ROWS($A$6:A11),1,MATCH($B$1,{"Summary","talent_str","race","trinket","stat_profile","trinket_pair","individual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Chart'!$T$6:$T$25),ROWS($A$6:A11),1,MATCH($B$1,{"Summary","talent_str","race","trinket","stat_profile","trinket_pair","individual talents"},0)),""),"")</f>
        <v>0</v>
      </c>
      <c r="C11">
        <f>IF($B11="","",$B11)</f>
        <v>0</v>
      </c>
      <c r="E11">
        <f>IF($A11="","",IF($D$4&gt;$D$3,MAX(0,MIN($C11,$D$4)-$D$3)/($D$4-$D$3),""))</f>
        <v>0</v>
      </c>
      <c r="G11" t="s">
        <v>229</v>
      </c>
      <c r="H11" s="3">
        <v>0.9735994462396291</v>
      </c>
      <c r="I11" t="s">
        <v>199</v>
      </c>
      <c r="J11" s="3">
        <v>0.9735994462396291</v>
      </c>
    </row>
    <row r="12" spans="1:20">
      <c r="A12">
        <f>IFERROR(IF($B12="","",INDEX(('Ranked Chart'!$G$6:$G$25,'Ranked Chart'!$I$6:$I$25,'Ranked Chart'!$K$6:$K$25,'Ranked Chart'!$M$6:$M$25,'Ranked Chart'!$O$6:$O$25,'Ranked Chart'!$Q$6:$Q$25,'Ranked Chart'!$S$6:$S$25),ROWS($A$6:A12),1,MATCH($B$1,{"Summary","talent_str","race","trinket","stat_profile","trinket_pair","individual talents"},0))),"")</f>
        <v>0</v>
      </c>
      <c r="B12" s="3">
        <f>IFERROR(IF(INDEX(('Ranked Chart'!$H$6:$H$25,'Ranked Chart'!$J$6:$J$25,'Ranked Chart'!$L$6:$L$25,'Ranked Chart'!$N$6:$N$25,'Ranked Chart'!$P$6:$P$25,'Ranked Chart'!$R$6:$R$25,'Ranked Chart'!$T$6:$T$25),ROWS($A$6:A12),1,MATCH($B$1,{"Summary","talent_str","race","trinket","stat_profile","trinket_pair","individual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Chart'!$T$6:$T$25),ROWS($A$6:A12),1,MATCH($B$1,{"Summary","talent_str","race","trinket","stat_profile","trinket_pair","individual talents"},0)),""),"")</f>
        <v>0</v>
      </c>
      <c r="C12">
        <f>IF($B12="","",$B12)</f>
        <v>0</v>
      </c>
      <c r="E12">
        <f>IF($A12="","",IF($D$4&gt;$D$3,MAX(0,MIN($C12,$D$4)-$D$3)/($D$4-$D$3),""))</f>
        <v>0</v>
      </c>
      <c r="G12" t="s">
        <v>229</v>
      </c>
      <c r="H12" s="3">
        <v>0.9725782349751275</v>
      </c>
      <c r="I12" t="s">
        <v>187</v>
      </c>
      <c r="J12" s="3">
        <v>0.9725782349751275</v>
      </c>
    </row>
    <row r="13" spans="1:20">
      <c r="A13">
        <f>IFERROR(IF($B13="","",INDEX(('Ranked Chart'!$G$6:$G$25,'Ranked Chart'!$I$6:$I$25,'Ranked Chart'!$K$6:$K$25,'Ranked Chart'!$M$6:$M$25,'Ranked Chart'!$O$6:$O$25,'Ranked Chart'!$Q$6:$Q$25,'Ranked Chart'!$S$6:$S$25),ROWS($A$6:A13),1,MATCH($B$1,{"Summary","talent_str","race","trinket","stat_profile","trinket_pair","individual talents"},0))),"")</f>
        <v>0</v>
      </c>
      <c r="B13" s="3">
        <f>IFERROR(IF(INDEX(('Ranked Chart'!$H$6:$H$25,'Ranked Chart'!$J$6:$J$25,'Ranked Chart'!$L$6:$L$25,'Ranked Chart'!$N$6:$N$25,'Ranked Chart'!$P$6:$P$25,'Ranked Chart'!$R$6:$R$25,'Ranked Chart'!$T$6:$T$25),ROWS($A$6:A13),1,MATCH($B$1,{"Summary","talent_str","race","trinket","stat_profile","trinket_pair","individual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Chart'!$T$6:$T$25),ROWS($A$6:A13),1,MATCH($B$1,{"Summary","talent_str","race","trinket","stat_profile","trinket_pair","individual talents"},0)),""),"")</f>
        <v>0</v>
      </c>
      <c r="C13">
        <f>IF($B13="","",$B13)</f>
        <v>0</v>
      </c>
      <c r="E13">
        <f>IF($A13="","",IF($D$4&gt;$D$3,MAX(0,MIN($C13,$D$4)-$D$3)/($D$4-$D$3),""))</f>
        <v>0</v>
      </c>
      <c r="G13" t="s">
        <v>229</v>
      </c>
      <c r="H13" s="3">
        <v>0.9707553203477102</v>
      </c>
      <c r="I13" t="s">
        <v>144</v>
      </c>
      <c r="J13" s="3">
        <v>0.9707553203477102</v>
      </c>
    </row>
    <row r="14" spans="1:20">
      <c r="A14">
        <f>IFERROR(IF($B14="","",INDEX(('Ranked Chart'!$G$6:$G$25,'Ranked Chart'!$I$6:$I$25,'Ranked Chart'!$K$6:$K$25,'Ranked Chart'!$M$6:$M$25,'Ranked Chart'!$O$6:$O$25,'Ranked Chart'!$Q$6:$Q$25,'Ranked Chart'!$S$6:$S$25),ROWS($A$6:A14),1,MATCH($B$1,{"Summary","talent_str","race","trinket","stat_profile","trinket_pair","individual talents"},0))),"")</f>
        <v>0</v>
      </c>
      <c r="B14" s="3">
        <f>IFERROR(IF(INDEX(('Ranked Chart'!$H$6:$H$25,'Ranked Chart'!$J$6:$J$25,'Ranked Chart'!$L$6:$L$25,'Ranked Chart'!$N$6:$N$25,'Ranked Chart'!$P$6:$P$25,'Ranked Chart'!$R$6:$R$25,'Ranked Chart'!$T$6:$T$25),ROWS($A$6:A14),1,MATCH($B$1,{"Summary","talent_str","race","trinket","stat_profile","trinket_pair","individual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Chart'!$T$6:$T$25),ROWS($A$6:A14),1,MATCH($B$1,{"Summary","talent_str","race","trinket","stat_profile","trinket_pair","individual talents"},0)),""),"")</f>
        <v>0</v>
      </c>
      <c r="C14">
        <f>IF($B14="","",$B14)</f>
        <v>0</v>
      </c>
      <c r="E14">
        <f>IF($A14="","",IF($D$4&gt;$D$3,MAX(0,MIN($C14,$D$4)-$D$3)/($D$4-$D$3),""))</f>
        <v>0</v>
      </c>
      <c r="G14" t="s">
        <v>229</v>
      </c>
      <c r="H14" s="3">
        <v>0.9707379845064499</v>
      </c>
      <c r="I14" t="s">
        <v>121</v>
      </c>
      <c r="J14" s="3">
        <v>0.9707379845064499</v>
      </c>
    </row>
    <row r="15" spans="1:20">
      <c r="A15">
        <f>IFERROR(IF($B15="","",INDEX(('Ranked Chart'!$G$6:$G$25,'Ranked Chart'!$I$6:$I$25,'Ranked Chart'!$K$6:$K$25,'Ranked Chart'!$M$6:$M$25,'Ranked Chart'!$O$6:$O$25,'Ranked Chart'!$Q$6:$Q$25,'Ranked Chart'!$S$6:$S$25),ROWS($A$6:A15),1,MATCH($B$1,{"Summary","talent_str","race","trinket","stat_profile","trinket_pair","individual talents"},0))),"")</f>
        <v>0</v>
      </c>
      <c r="B15" s="3">
        <f>IFERROR(IF(INDEX(('Ranked Chart'!$H$6:$H$25,'Ranked Chart'!$J$6:$J$25,'Ranked Chart'!$L$6:$L$25,'Ranked Chart'!$N$6:$N$25,'Ranked Chart'!$P$6:$P$25,'Ranked Chart'!$R$6:$R$25,'Ranked Chart'!$T$6:$T$25),ROWS($A$6:A15),1,MATCH($B$1,{"Summary","talent_str","race","trinket","stat_profile","trinket_pair","individual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Chart'!$T$6:$T$25),ROWS($A$6:A15),1,MATCH($B$1,{"Summary","talent_str","race","trinket","stat_profile","trinket_pair","individual talents"},0)),""),"")</f>
        <v>0</v>
      </c>
      <c r="C15">
        <f>IF($B15="","",$B15)</f>
        <v>0</v>
      </c>
      <c r="E15">
        <f>IF($A15="","",IF($D$4&gt;$D$3,MAX(0,MIN($C15,$D$4)-$D$3)/($D$4-$D$3),""))</f>
        <v>0</v>
      </c>
      <c r="G15" t="s">
        <v>229</v>
      </c>
      <c r="H15" s="3">
        <v>0.9699202186821492</v>
      </c>
      <c r="I15" t="s">
        <v>174</v>
      </c>
      <c r="J15" s="3">
        <v>0.9699202186821492</v>
      </c>
    </row>
    <row r="16" spans="1:20">
      <c r="A16">
        <f>IFERROR(IF($B16="","",INDEX(('Ranked Chart'!$G$6:$G$25,'Ranked Chart'!$I$6:$I$25,'Ranked Chart'!$K$6:$K$25,'Ranked Chart'!$M$6:$M$25,'Ranked Chart'!$O$6:$O$25,'Ranked Chart'!$Q$6:$Q$25,'Ranked Chart'!$S$6:$S$25),ROWS($A$6:A16),1,MATCH($B$1,{"Summary","talent_str","race","trinket","stat_profile","trinket_pair","individual talents"},0))),"")</f>
        <v>0</v>
      </c>
      <c r="B16" s="3">
        <f>IFERROR(IF(INDEX(('Ranked Chart'!$H$6:$H$25,'Ranked Chart'!$J$6:$J$25,'Ranked Chart'!$L$6:$L$25,'Ranked Chart'!$N$6:$N$25,'Ranked Chart'!$P$6:$P$25,'Ranked Chart'!$R$6:$R$25,'Ranked Chart'!$T$6:$T$25),ROWS($A$6:A16),1,MATCH($B$1,{"Summary","talent_str","race","trinket","stat_profile","trinket_pair","individual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Chart'!$T$6:$T$25),ROWS($A$6:A16),1,MATCH($B$1,{"Summary","talent_str","race","trinket","stat_profile","trinket_pair","individual talents"},0)),""),"")</f>
        <v>0</v>
      </c>
      <c r="C16">
        <f>IF($B16="","",$B16)</f>
        <v>0</v>
      </c>
      <c r="E16">
        <f>IF($A16="","",IF($D$4&gt;$D$3,MAX(0,MIN($C16,$D$4)-$D$3)/($D$4-$D$3),""))</f>
        <v>0</v>
      </c>
      <c r="G16" t="s">
        <v>229</v>
      </c>
      <c r="H16" s="3">
        <v>0.9693475566800404</v>
      </c>
      <c r="I16" t="s">
        <v>193</v>
      </c>
      <c r="J16" s="3">
        <v>0.9693475566800404</v>
      </c>
    </row>
    <row r="17" spans="1:10">
      <c r="A17">
        <f>IFERROR(IF($B17="","",INDEX(('Ranked Chart'!$G$6:$G$25,'Ranked Chart'!$I$6:$I$25,'Ranked Chart'!$K$6:$K$25,'Ranked Chart'!$M$6:$M$25,'Ranked Chart'!$O$6:$O$25,'Ranked Chart'!$Q$6:$Q$25,'Ranked Chart'!$S$6:$S$25),ROWS($A$6:A17),1,MATCH($B$1,{"Summary","talent_str","race","trinket","stat_profile","trinket_pair","individual talents"},0))),"")</f>
        <v>0</v>
      </c>
      <c r="B17" s="3">
        <f>IFERROR(IF(INDEX(('Ranked Chart'!$H$6:$H$25,'Ranked Chart'!$J$6:$J$25,'Ranked Chart'!$L$6:$L$25,'Ranked Chart'!$N$6:$N$25,'Ranked Chart'!$P$6:$P$25,'Ranked Chart'!$R$6:$R$25,'Ranked Chart'!$T$6:$T$25),ROWS($A$6:A17),1,MATCH($B$1,{"Summary","talent_str","race","trinket","stat_profile","trinket_pair","individual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Chart'!$T$6:$T$25),ROWS($A$6:A17),1,MATCH($B$1,{"Summary","talent_str","race","trinket","stat_profile","trinket_pair","individual talents"},0)),""),"")</f>
        <v>0</v>
      </c>
      <c r="C17">
        <f>IF($B17="","",$B17)</f>
        <v>0</v>
      </c>
      <c r="E17">
        <f>IF($A17="","",IF($D$4&gt;$D$3,MAX(0,MIN($C17,$D$4)-$D$3)/($D$4-$D$3),""))</f>
        <v>0</v>
      </c>
      <c r="G17" t="s">
        <v>229</v>
      </c>
      <c r="H17" s="3">
        <v>0.9690102312320905</v>
      </c>
      <c r="I17" t="s">
        <v>182</v>
      </c>
      <c r="J17" s="3">
        <v>0.9690102312320905</v>
      </c>
    </row>
    <row r="18" spans="1:10">
      <c r="A18">
        <f>IFERROR(IF($B18="","",INDEX(('Ranked Chart'!$G$6:$G$25,'Ranked Chart'!$I$6:$I$25,'Ranked Chart'!$K$6:$K$25,'Ranked Chart'!$M$6:$M$25,'Ranked Chart'!$O$6:$O$25,'Ranked Chart'!$Q$6:$Q$25,'Ranked Chart'!$S$6:$S$25),ROWS($A$6:A18),1,MATCH($B$1,{"Summary","talent_str","race","trinket","stat_profile","trinket_pair","individual talents"},0))),"")</f>
        <v>0</v>
      </c>
      <c r="B18" s="3">
        <f>IFERROR(IF(INDEX(('Ranked Chart'!$H$6:$H$25,'Ranked Chart'!$J$6:$J$25,'Ranked Chart'!$L$6:$L$25,'Ranked Chart'!$N$6:$N$25,'Ranked Chart'!$P$6:$P$25,'Ranked Chart'!$R$6:$R$25,'Ranked Chart'!$T$6:$T$25),ROWS($A$6:A18),1,MATCH($B$1,{"Summary","talent_str","race","trinket","stat_profile","trinket_pair","individual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Chart'!$T$6:$T$25),ROWS($A$6:A18),1,MATCH($B$1,{"Summary","talent_str","race","trinket","stat_profile","trinket_pair","individual talents"},0)),""),"")</f>
        <v>0</v>
      </c>
      <c r="C18">
        <f>IF($B18="","",$B18)</f>
        <v>0</v>
      </c>
      <c r="E18">
        <f>IF($A18="","",IF($D$4&gt;$D$3,MAX(0,MIN($C18,$D$4)-$D$3)/($D$4-$D$3),""))</f>
        <v>0</v>
      </c>
      <c r="G18" t="s">
        <v>229</v>
      </c>
      <c r="H18" s="3">
        <v>0.9642247987873198</v>
      </c>
      <c r="I18" t="s">
        <v>132</v>
      </c>
      <c r="J18" s="3">
        <v>0.9642247987873198</v>
      </c>
    </row>
    <row r="19" spans="1:10">
      <c r="A19">
        <f>IFERROR(IF($B19="","",INDEX(('Ranked Chart'!$G$6:$G$25,'Ranked Chart'!$I$6:$I$25,'Ranked Chart'!$K$6:$K$25,'Ranked Chart'!$M$6:$M$25,'Ranked Chart'!$O$6:$O$25,'Ranked Chart'!$Q$6:$Q$25,'Ranked Chart'!$S$6:$S$25),ROWS($A$6:A19),1,MATCH($B$1,{"Summary","talent_str","race","trinket","stat_profile","trinket_pair","individual talents"},0))),"")</f>
        <v>0</v>
      </c>
      <c r="B19" s="3">
        <f>IFERROR(IF(INDEX(('Ranked Chart'!$H$6:$H$25,'Ranked Chart'!$J$6:$J$25,'Ranked Chart'!$L$6:$L$25,'Ranked Chart'!$N$6:$N$25,'Ranked Chart'!$P$6:$P$25,'Ranked Chart'!$R$6:$R$25,'Ranked Chart'!$T$6:$T$25),ROWS($A$6:A19),1,MATCH($B$1,{"Summary","talent_str","race","trinket","stat_profile","trinket_pair","individual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Chart'!$T$6:$T$25),ROWS($A$6:A19),1,MATCH($B$1,{"Summary","talent_str","race","trinket","stat_profile","trinket_pair","individual talents"},0)),""),"")</f>
        <v>0</v>
      </c>
      <c r="C19">
        <f>IF($B19="","",$B19)</f>
        <v>0</v>
      </c>
      <c r="E19">
        <f>IF($A19="","",IF($D$4&gt;$D$3,MAX(0,MIN($C19,$D$4)-$D$3)/($D$4-$D$3),""))</f>
        <v>0</v>
      </c>
      <c r="G19" t="s">
        <v>229</v>
      </c>
      <c r="H19" s="3">
        <v>0.9628881869850943</v>
      </c>
      <c r="I19" t="s">
        <v>165</v>
      </c>
      <c r="J19" s="3">
        <v>0.9628881869850943</v>
      </c>
    </row>
    <row r="20" spans="1:10">
      <c r="A20">
        <f>IFERROR(IF($B20="","",INDEX(('Ranked Chart'!$G$6:$G$25,'Ranked Chart'!$I$6:$I$25,'Ranked Chart'!$K$6:$K$25,'Ranked Chart'!$M$6:$M$25,'Ranked Chart'!$O$6:$O$25,'Ranked Chart'!$Q$6:$Q$25,'Ranked Chart'!$S$6:$S$25),ROWS($A$6:A20),1,MATCH($B$1,{"Summary","talent_str","race","trinket","stat_profile","trinket_pair","individual talents"},0))),"")</f>
        <v>0</v>
      </c>
      <c r="B20" s="3">
        <f>IFERROR(IF(INDEX(('Ranked Chart'!$H$6:$H$25,'Ranked Chart'!$J$6:$J$25,'Ranked Chart'!$L$6:$L$25,'Ranked Chart'!$N$6:$N$25,'Ranked Chart'!$P$6:$P$25,'Ranked Chart'!$R$6:$R$25,'Ranked Chart'!$T$6:$T$25),ROWS($A$6:A20),1,MATCH($B$1,{"Summary","talent_str","race","trinket","stat_profile","trinket_pair","individual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Chart'!$T$6:$T$25),ROWS($A$6:A20),1,MATCH($B$1,{"Summary","talent_str","race","trinket","stat_profile","trinket_pair","individual talents"},0)),""),"")</f>
        <v>0</v>
      </c>
      <c r="C20">
        <f>IF($B20="","",$B20)</f>
        <v>0</v>
      </c>
      <c r="E20">
        <f>IF($A20="","",IF($D$4&gt;$D$3,MAX(0,MIN($C20,$D$4)-$D$3)/($D$4-$D$3),""))</f>
        <v>0</v>
      </c>
      <c r="G20" t="s">
        <v>229</v>
      </c>
      <c r="H20" s="3">
        <v>0.9616631145143242</v>
      </c>
      <c r="I20" t="s">
        <v>160</v>
      </c>
      <c r="J20" s="3">
        <v>0.9616631145143242</v>
      </c>
    </row>
    <row r="21" spans="1:10">
      <c r="A21">
        <f>IFERROR(IF($B21="","",INDEX(('Ranked Chart'!$G$6:$G$25,'Ranked Chart'!$I$6:$I$25,'Ranked Chart'!$K$6:$K$25,'Ranked Chart'!$M$6:$M$25,'Ranked Chart'!$O$6:$O$25,'Ranked Chart'!$Q$6:$Q$25,'Ranked Chart'!$S$6:$S$25),ROWS($A$6:A21),1,MATCH($B$1,{"Summary","talent_str","race","trinket","stat_profile","trinket_pair","individual talents"},0))),"")</f>
        <v>0</v>
      </c>
      <c r="B21" s="3">
        <f>IFERROR(IF(INDEX(('Ranked Chart'!$H$6:$H$25,'Ranked Chart'!$J$6:$J$25,'Ranked Chart'!$L$6:$L$25,'Ranked Chart'!$N$6:$N$25,'Ranked Chart'!$P$6:$P$25,'Ranked Chart'!$R$6:$R$25,'Ranked Chart'!$T$6:$T$25),ROWS($A$6:A21),1,MATCH($B$1,{"Summary","talent_str","race","trinket","stat_profile","trinket_pair","individual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Chart'!$T$6:$T$25),ROWS($A$6:A21),1,MATCH($B$1,{"Summary","talent_str","race","trinket","stat_profile","trinket_pair","individual talents"},0)),""),"")</f>
        <v>0</v>
      </c>
      <c r="C21">
        <f>IF($B21="","",$B21)</f>
        <v>0</v>
      </c>
      <c r="E21">
        <f>IF($A21="","",IF($D$4&gt;$D$3,MAX(0,MIN($C21,$D$4)-$D$3)/($D$4-$D$3),""))</f>
        <v>0</v>
      </c>
      <c r="G21" t="s">
        <v>229</v>
      </c>
      <c r="H21" s="3">
        <v>0.9611729746739308</v>
      </c>
      <c r="I21" t="s">
        <v>138</v>
      </c>
      <c r="J21" s="3">
        <v>0.9611729746739308</v>
      </c>
    </row>
    <row r="22" spans="1:10">
      <c r="A22">
        <f>IFERROR(IF($B22="","",INDEX(('Ranked Chart'!$G$6:$G$25,'Ranked Chart'!$I$6:$I$25,'Ranked Chart'!$K$6:$K$25,'Ranked Chart'!$M$6:$M$25,'Ranked Chart'!$O$6:$O$25,'Ranked Chart'!$Q$6:$Q$25,'Ranked Chart'!$S$6:$S$25),ROWS($A$6:A22),1,MATCH($B$1,{"Summary","talent_str","race","trinket","stat_profile","trinket_pair","individual talents"},0))),"")</f>
        <v>0</v>
      </c>
      <c r="B22" s="3">
        <f>IFERROR(IF(INDEX(('Ranked Chart'!$H$6:$H$25,'Ranked Chart'!$J$6:$J$25,'Ranked Chart'!$L$6:$L$25,'Ranked Chart'!$N$6:$N$25,'Ranked Chart'!$P$6:$P$25,'Ranked Chart'!$R$6:$R$25,'Ranked Chart'!$T$6:$T$25),ROWS($A$6:A22),1,MATCH($B$1,{"Summary","talent_str","race","trinket","stat_profile","trinket_pair","individual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Chart'!$T$6:$T$25),ROWS($A$6:A22),1,MATCH($B$1,{"Summary","talent_str","race","trinket","stat_profile","trinket_pair","individual talents"},0)),""),"")</f>
        <v>0</v>
      </c>
      <c r="C22">
        <f>IF($B22="","",$B22)</f>
        <v>0</v>
      </c>
      <c r="E22">
        <f>IF($A22="","",IF($D$4&gt;$D$3,MAX(0,MIN($C22,$D$4)-$D$3)/($D$4-$D$3),""))</f>
        <v>0</v>
      </c>
      <c r="G22" t="s">
        <v>229</v>
      </c>
      <c r="H22" s="3">
        <v>0.9589153964915684</v>
      </c>
      <c r="I22" t="s">
        <v>117</v>
      </c>
      <c r="J22" s="3">
        <v>0.9589153964915684</v>
      </c>
    </row>
    <row r="23" spans="1:10">
      <c r="A23">
        <f>IFERROR(IF($B23="","",INDEX(('Ranked Chart'!$G$6:$G$25,'Ranked Chart'!$I$6:$I$25,'Ranked Chart'!$K$6:$K$25,'Ranked Chart'!$M$6:$M$25,'Ranked Chart'!$O$6:$O$25,'Ranked Chart'!$Q$6:$Q$25,'Ranked Chart'!$S$6:$S$25),ROWS($A$6:A23),1,MATCH($B$1,{"Summary","talent_str","race","trinket","stat_profile","trinket_pair","individual talents"},0))),"")</f>
        <v>0</v>
      </c>
      <c r="B23" s="3">
        <f>IFERROR(IF(INDEX(('Ranked Chart'!$H$6:$H$25,'Ranked Chart'!$J$6:$J$25,'Ranked Chart'!$L$6:$L$25,'Ranked Chart'!$N$6:$N$25,'Ranked Chart'!$P$6:$P$25,'Ranked Chart'!$R$6:$R$25,'Ranked Chart'!$T$6:$T$25),ROWS($A$6:A23),1,MATCH($B$1,{"Summary","talent_str","race","trinket","stat_profile","trinket_pair","individual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Chart'!$T$6:$T$25),ROWS($A$6:A23),1,MATCH($B$1,{"Summary","talent_str","race","trinket","stat_profile","trinket_pair","individual talents"},0)),""),"")</f>
        <v>0</v>
      </c>
      <c r="C23">
        <f>IF($B23="","",$B23)</f>
        <v>0</v>
      </c>
      <c r="E23">
        <f>IF($A23="","",IF($D$4&gt;$D$3,MAX(0,MIN($C23,$D$4)-$D$3)/($D$4-$D$3),""))</f>
        <v>0</v>
      </c>
      <c r="G23" t="s">
        <v>229</v>
      </c>
      <c r="H23" s="3">
        <v>0.9555289802437534</v>
      </c>
      <c r="I23" t="s">
        <v>150</v>
      </c>
      <c r="J23" s="3">
        <v>0.9555289802437534</v>
      </c>
    </row>
    <row r="24" spans="1:10">
      <c r="A24">
        <f>IFERROR(IF($B24="","",INDEX(('Ranked Chart'!$G$6:$G$25,'Ranked Chart'!$I$6:$I$25,'Ranked Chart'!$K$6:$K$25,'Ranked Chart'!$M$6:$M$25,'Ranked Chart'!$O$6:$O$25,'Ranked Chart'!$Q$6:$Q$25,'Ranked Chart'!$S$6:$S$25),ROWS($A$6:A24),1,MATCH($B$1,{"Summary","talent_str","race","trinket","stat_profile","trinket_pair","individual talents"},0))),"")</f>
        <v>0</v>
      </c>
      <c r="B24" s="3">
        <f>IFERROR(IF(INDEX(('Ranked Chart'!$H$6:$H$25,'Ranked Chart'!$J$6:$J$25,'Ranked Chart'!$L$6:$L$25,'Ranked Chart'!$N$6:$N$25,'Ranked Chart'!$P$6:$P$25,'Ranked Chart'!$R$6:$R$25,'Ranked Chart'!$T$6:$T$25),ROWS($A$6:A24),1,MATCH($B$1,{"Summary","talent_str","race","trinket","stat_profile","trinket_pair","individual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Chart'!$T$6:$T$25),ROWS($A$6:A24),1,MATCH($B$1,{"Summary","talent_str","race","trinket","stat_profile","trinket_pair","individual talents"},0)),""),"")</f>
        <v>0</v>
      </c>
      <c r="C24">
        <f>IF($B24="","",$B24)</f>
        <v>0</v>
      </c>
      <c r="E24">
        <f>IF($A24="","",IF($D$4&gt;$D$3,MAX(0,MIN($C24,$D$4)-$D$3)/($D$4-$D$3),""))</f>
        <v>0</v>
      </c>
      <c r="G24" t="s">
        <v>229</v>
      </c>
      <c r="H24" s="3">
        <v>0.95534120951835</v>
      </c>
      <c r="I24" t="s">
        <v>188</v>
      </c>
      <c r="J24" s="3">
        <v>0.95534120951835</v>
      </c>
    </row>
    <row r="25" spans="1:10">
      <c r="A25">
        <f>IFERROR(IF($B25="","",INDEX(('Ranked Chart'!$G$6:$G$25,'Ranked Chart'!$I$6:$I$25,'Ranked Chart'!$K$6:$K$25,'Ranked Chart'!$M$6:$M$25,'Ranked Chart'!$O$6:$O$25,'Ranked Chart'!$Q$6:$Q$25,'Ranked Chart'!$S$6:$S$25),ROWS($A$6:A25),1,MATCH($B$1,{"Summary","talent_str","race","trinket","stat_profile","trinket_pair","individual talents"},0))),"")</f>
        <v>0</v>
      </c>
      <c r="B25" s="3">
        <f>IFERROR(IF(INDEX(('Ranked Chart'!$H$6:$H$25,'Ranked Chart'!$J$6:$J$25,'Ranked Chart'!$L$6:$L$25,'Ranked Chart'!$N$6:$N$25,'Ranked Chart'!$P$6:$P$25,'Ranked Chart'!$R$6:$R$25,'Ranked Chart'!$T$6:$T$25),ROWS($A$6:A25),1,MATCH($B$1,{"Summary","talent_str","race","trinket","stat_profile","trinket_pair","individual talents"},0))&gt;0,INDEX(('Ranked Chart'!$H$6:$H$25,'Ranked Chart'!$J$6:$J$25,'Ranked Chart'!$L$6:$L$25,'Ranked Chart'!$N$6:$N$25,'Ranked Chart'!$P$6:$P$25,'Ranked Chart'!$R$6:$R$25,'Ranked Chart'!$T$6:$T$25),ROWS($A$6:A25),1,MATCH($B$1,{"Summary","talent_str","race","trinket","stat_profile","trinket_pair","individual talents"},0)),""),"")</f>
        <v>0</v>
      </c>
      <c r="C25">
        <f>IF($B25="","",$B25)</f>
        <v>0</v>
      </c>
      <c r="E25">
        <f>IF($A25="","",IF($D$4&gt;$D$3,MAX(0,MIN($C25,$D$4)-$D$3)/($D$4-$D$3),""))</f>
        <v>0</v>
      </c>
      <c r="G25" t="s">
        <v>229</v>
      </c>
      <c r="H25" s="3">
        <v>0.9552764782929589</v>
      </c>
      <c r="I25" t="s">
        <v>183</v>
      </c>
      <c r="J25" s="3">
        <v>0.9552764782929589</v>
      </c>
    </row>
  </sheetData>
  <dataValidations count="1">
    <dataValidation type="list" allowBlank="1" showInputMessage="1" showErrorMessage="1" sqref="B1">
      <formula1>"Summary,talent_str,race,trinket,stat_profile,trinket_pair,individual talents"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cols>
    <col min="1" max="1" width="14.7109375" customWidth="1"/>
    <col min="2" max="2" width="10.7109375" customWidth="1"/>
  </cols>
  <sheetData>
    <row r="1" spans="1:2">
      <c r="A1" s="4" t="s">
        <v>248</v>
      </c>
    </row>
    <row r="2" spans="1:2">
      <c r="A2" t="s">
        <v>249</v>
      </c>
    </row>
    <row r="4" spans="1:2">
      <c r="A4" s="4" t="s">
        <v>250</v>
      </c>
    </row>
    <row r="6" spans="1:2">
      <c r="A6" s="5" t="s">
        <v>251</v>
      </c>
      <c r="B6" s="5">
        <v>1237</v>
      </c>
    </row>
    <row r="7" spans="1:2">
      <c r="A7" s="5">
        <v>602</v>
      </c>
      <c r="B7" s="2">
        <v>51847.69376346669</v>
      </c>
    </row>
    <row r="11" spans="1:2">
      <c r="A11" s="4" t="s">
        <v>252</v>
      </c>
    </row>
    <row r="13" spans="1:2">
      <c r="A13" s="5" t="s">
        <v>253</v>
      </c>
      <c r="B13" s="5">
        <v>107</v>
      </c>
    </row>
    <row r="14" spans="1:2">
      <c r="A14" s="5">
        <v>602</v>
      </c>
      <c r="B14" s="2">
        <v>51847.69376346669</v>
      </c>
    </row>
    <row r="18" spans="1:2">
      <c r="A18" s="4" t="s">
        <v>254</v>
      </c>
    </row>
    <row r="20" spans="1:2">
      <c r="A20" s="5" t="s">
        <v>255</v>
      </c>
      <c r="B20" s="5">
        <v>519</v>
      </c>
    </row>
    <row r="21" spans="1:2">
      <c r="A21" s="5">
        <v>602</v>
      </c>
      <c r="B21" s="2">
        <v>51847.69376346669</v>
      </c>
    </row>
    <row r="25" spans="1:2">
      <c r="A25" s="4" t="s">
        <v>256</v>
      </c>
    </row>
    <row r="27" spans="1:2">
      <c r="A27" s="5" t="s">
        <v>257</v>
      </c>
      <c r="B27" s="5">
        <v>107</v>
      </c>
    </row>
    <row r="28" spans="1:2">
      <c r="A28" s="5">
        <v>1237</v>
      </c>
      <c r="B28" s="2">
        <v>51847.69376346669</v>
      </c>
    </row>
    <row r="32" spans="1:2">
      <c r="A32" s="4" t="s">
        <v>258</v>
      </c>
    </row>
    <row r="34" spans="1:2">
      <c r="A34" s="5" t="s">
        <v>259</v>
      </c>
      <c r="B34" s="5">
        <v>519</v>
      </c>
    </row>
    <row r="35" spans="1:2">
      <c r="A35" s="5">
        <v>1237</v>
      </c>
      <c r="B35" s="2">
        <v>51847.69376346669</v>
      </c>
    </row>
    <row r="39" spans="1:2">
      <c r="A39" s="4" t="s">
        <v>260</v>
      </c>
    </row>
    <row r="41" spans="1:2">
      <c r="A41" s="5" t="s">
        <v>261</v>
      </c>
      <c r="B41" s="5">
        <v>519</v>
      </c>
    </row>
    <row r="42" spans="1:2">
      <c r="A42" s="5">
        <v>107</v>
      </c>
      <c r="B42" s="2">
        <v>51847.69376346669</v>
      </c>
    </row>
  </sheetData>
  <conditionalFormatting sqref="B14">
    <cfRule type="colorScale" priority="2">
      <colorScale>
        <cfvo type="min" val="0"/>
        <cfvo type="percentile" val="50"/>
        <cfvo type="max" val="0"/>
        <color rgb="FFFF0000"/>
        <color rgb="FFFFD966"/>
        <color rgb="FF00B050"/>
      </colorScale>
    </cfRule>
  </conditionalFormatting>
  <conditionalFormatting sqref="B21">
    <cfRule type="colorScale" priority="3">
      <colorScale>
        <cfvo type="min" val="0"/>
        <cfvo type="percentile" val="50"/>
        <cfvo type="max" val="0"/>
        <color rgb="FFFF0000"/>
        <color rgb="FFFFD966"/>
        <color rgb="FF00B050"/>
      </colorScale>
    </cfRule>
  </conditionalFormatting>
  <conditionalFormatting sqref="B28">
    <cfRule type="colorScale" priority="4">
      <colorScale>
        <cfvo type="min" val="0"/>
        <cfvo type="percentile" val="50"/>
        <cfvo type="max" val="0"/>
        <color rgb="FFFF0000"/>
        <color rgb="FFFFD966"/>
        <color rgb="FF00B050"/>
      </colorScale>
    </cfRule>
  </conditionalFormatting>
  <conditionalFormatting sqref="B35">
    <cfRule type="colorScale" priority="5">
      <colorScale>
        <cfvo type="min" val="0"/>
        <cfvo type="percentile" val="50"/>
        <cfvo type="max" val="0"/>
        <color rgb="FFFF0000"/>
        <color rgb="FFFFD966"/>
        <color rgb="FF00B050"/>
      </colorScale>
    </cfRule>
  </conditionalFormatting>
  <conditionalFormatting sqref="B42">
    <cfRule type="colorScale" priority="6">
      <colorScale>
        <cfvo type="min" val="0"/>
        <cfvo type="percentile" val="50"/>
        <cfvo type="max" val="0"/>
        <color rgb="FFFF0000"/>
        <color rgb="FFFFD966"/>
        <color rgb="FF00B050"/>
      </colorScale>
    </cfRule>
  </conditionalFormatting>
  <conditionalFormatting sqref="B7">
    <cfRule type="colorScale" priority="1">
      <colorScale>
        <cfvo type="min" val="0"/>
        <cfvo type="percentile" val="50"/>
        <cfvo type="max" val="0"/>
        <color rgb="FFFF0000"/>
        <color rgb="FFFFD966"/>
        <color rgb="FF00B05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4" t="s">
        <v>262</v>
      </c>
    </row>
    <row r="2" spans="1:8">
      <c r="A2" t="s">
        <v>263</v>
      </c>
    </row>
    <row r="4" spans="1:8">
      <c r="A4" s="5" t="s">
        <v>264</v>
      </c>
      <c r="B4" s="5" t="s">
        <v>265</v>
      </c>
      <c r="C4" s="5" t="s">
        <v>266</v>
      </c>
      <c r="D4" s="5" t="s">
        <v>267</v>
      </c>
      <c r="E4" s="5" t="s">
        <v>11</v>
      </c>
      <c r="F4" s="5" t="s">
        <v>12</v>
      </c>
      <c r="G4" s="5" t="s">
        <v>13</v>
      </c>
      <c r="H4" s="5" t="s">
        <v>14</v>
      </c>
    </row>
    <row r="5" spans="1:8">
      <c r="A5" s="6">
        <v>0</v>
      </c>
      <c r="B5" s="6">
        <v>0</v>
      </c>
      <c r="C5" s="2">
        <v>51847.69376346669</v>
      </c>
      <c r="D5">
        <v>178</v>
      </c>
      <c r="E5">
        <v>602</v>
      </c>
      <c r="F5">
        <v>1237</v>
      </c>
      <c r="G5">
        <v>107</v>
      </c>
      <c r="H5">
        <v>519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36.7109375" customWidth="1"/>
    <col min="2" max="5" width="10.7109375" style="7" customWidth="1"/>
  </cols>
  <sheetData>
    <row r="1" spans="1:5">
      <c r="A1" s="4" t="s">
        <v>268</v>
      </c>
    </row>
    <row r="2" spans="1:5">
      <c r="A2" t="s">
        <v>269</v>
      </c>
    </row>
    <row r="4" spans="1:5">
      <c r="A4" s="5" t="s">
        <v>270</v>
      </c>
      <c r="B4" s="5" t="s">
        <v>271</v>
      </c>
      <c r="C4" s="5" t="s">
        <v>272</v>
      </c>
      <c r="D4" s="5" t="s">
        <v>273</v>
      </c>
      <c r="E4" s="5" t="s">
        <v>274</v>
      </c>
    </row>
    <row r="5" spans="1:5">
      <c r="A5" t="s">
        <v>275</v>
      </c>
      <c r="B5" s="7">
        <v>0</v>
      </c>
      <c r="C5" s="7">
        <v>0</v>
      </c>
      <c r="D5" s="7">
        <v>0</v>
      </c>
      <c r="E5" s="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36</vt:i4>
      </vt:variant>
    </vt:vector>
  </HeadingPairs>
  <TitlesOfParts>
    <vt:vector size="45" baseType="lpstr">
      <vt:lpstr>Data</vt:lpstr>
      <vt:lpstr>Summary</vt:lpstr>
      <vt:lpstr>pivot_data</vt:lpstr>
      <vt:lpstr>Pivots</vt:lpstr>
      <vt:lpstr>Talents</vt:lpstr>
      <vt:lpstr>Ranked Chart</vt:lpstr>
      <vt:lpstr>Stat Heatmap</vt:lpstr>
      <vt:lpstr>Stat Map</vt:lpstr>
      <vt:lpstr>Stat Radar</vt:lpstr>
      <vt:lpstr>pivot_individual_talents_both_data</vt:lpstr>
      <vt:lpstr>pivot_individual_talents_both_headers</vt:lpstr>
      <vt:lpstr>pivot_individual_talents_dps_data</vt:lpstr>
      <vt:lpstr>pivot_individual_talents_dps_headers</vt:lpstr>
      <vt:lpstr>pivot_individual_talents_priority_dps_data</vt:lpstr>
      <vt:lpstr>pivot_individual_talents_priority_dps_headers</vt:lpstr>
      <vt:lpstr>pivot_race_both_data</vt:lpstr>
      <vt:lpstr>pivot_race_both_headers</vt:lpstr>
      <vt:lpstr>pivot_race_dps_data</vt:lpstr>
      <vt:lpstr>pivot_race_dps_headers</vt:lpstr>
      <vt:lpstr>pivot_race_priority_dps_data</vt:lpstr>
      <vt:lpstr>pivot_race_priority_dps_headers</vt:lpstr>
      <vt:lpstr>pivot_stat_profile_both_data</vt:lpstr>
      <vt:lpstr>pivot_stat_profile_both_headers</vt:lpstr>
      <vt:lpstr>pivot_stat_profile_dps_data</vt:lpstr>
      <vt:lpstr>pivot_stat_profile_dps_headers</vt:lpstr>
      <vt:lpstr>pivot_stat_profile_priority_dps_data</vt:lpstr>
      <vt:lpstr>pivot_stat_profile_priority_dps_headers</vt:lpstr>
      <vt:lpstr>pivot_talent_str_both_data</vt:lpstr>
      <vt:lpstr>pivot_talent_str_both_headers</vt:lpstr>
      <vt:lpstr>pivot_talent_str_dps_data</vt:lpstr>
      <vt:lpstr>pivot_talent_str_dps_headers</vt:lpstr>
      <vt:lpstr>pivot_talent_str_priority_dps_data</vt:lpstr>
      <vt:lpstr>pivot_talent_str_priority_dps_headers</vt:lpstr>
      <vt:lpstr>pivot_trinket_both_data</vt:lpstr>
      <vt:lpstr>pivot_trinket_both_headers</vt:lpstr>
      <vt:lpstr>pivot_trinket_dps_data</vt:lpstr>
      <vt:lpstr>pivot_trinket_dps_headers</vt:lpstr>
      <vt:lpstr>pivot_trinket_pair_both_data</vt:lpstr>
      <vt:lpstr>pivot_trinket_pair_both_headers</vt:lpstr>
      <vt:lpstr>pivot_trinket_pair_dps_data</vt:lpstr>
      <vt:lpstr>pivot_trinket_pair_dps_headers</vt:lpstr>
      <vt:lpstr>pivot_trinket_pair_priority_dps_data</vt:lpstr>
      <vt:lpstr>pivot_trinket_pair_priority_dps_headers</vt:lpstr>
      <vt:lpstr>pivot_trinket_priority_dps_data</vt:lpstr>
      <vt:lpstr>pivot_trinket_priority_dps_headers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2025-12-16T01:58:21Z</dcterms:created>
  <dcterms:modified xsi:type="dcterms:W3CDTF">2025-12-16T01:58:21Z</dcterms:modified>
</cp:coreProperties>
</file>